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7-04" sheetId="1" r:id="rIdSheet1"/>
    <sheet name="Rekap" sheetId="2" r:id="rIdSheet2"/>
    <sheet name="Rekap by Type" sheetId="3" r:id="rIdSheet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2">
      <c r="A1" s="0" t="inlineStr">
        <is>
          <t> </t>
        </is>
      </c>
      <c r="B1" s="0" t="inlineStr">
        <is>
          <t> </t>
        </is>
      </c>
      <c r="C1" s="0" t="inlineStr">
        <is>
          <t> </t>
        </is>
      </c>
      <c r="D1" s="0" t="inlineStr">
        <is>
          <t> </t>
        </is>
      </c>
      <c r="E1" s="0" t="inlineStr">
        <is>
          <t> </t>
        </is>
      </c>
      <c r="F1" s="0" t="inlineStr">
        <is>
          <t> </t>
        </is>
      </c>
      <c r="G1" s="0" t="inlineStr">
        <is>
          <t> </t>
        </is>
      </c>
      <c r="H1" s="0" t="inlineStr">
        <is>
          <t> </t>
        </is>
      </c>
      <c r="I1" s="0" t="inlineStr">
        <is>
          <t> </t>
        </is>
      </c>
      <c r="J1" s="0" t="inlineStr">
        <is>
          <t> </t>
        </is>
      </c>
      <c r="K1" s="0" t="inlineStr">
        <is>
          <t> </t>
        </is>
      </c>
      <c r="L1" s="0" t="inlineStr">
        <is>
          <t> </t>
        </is>
      </c>
      <c r="M1" s="0" t="inlineStr">
        <is>
          <t> </t>
        </is>
      </c>
      <c r="N1" s="0" t="inlineStr">
        <is>
          <t> </t>
        </is>
      </c>
      <c r="O1" s="0" t="inlineStr">
        <is>
          <t> </t>
        </is>
      </c>
      <c r="P1" s="0" t="inlineStr">
        <is>
          <t>RTSII</t>
        </is>
      </c>
      <c r="Q1" s="0" t="inlineStr">
        <is>
          <t>RTGII</t>
        </is>
      </c>
      <c r="R1" s="0" t="inlineStr">
        <is>
          <t>RTPDM2</t>
        </is>
      </c>
      <c r="S1" s="0" t="inlineStr">
        <is>
          <t>RCC2</t>
        </is>
      </c>
      <c r="T1" s="0" t="inlineStr">
        <is>
          <t>RTKL</t>
        </is>
      </c>
      <c r="U1" s="0" t="inlineStr">
        <is>
          <t>SCK2</t>
        </is>
      </c>
      <c r="V1" s="0" t="inlineStr">
        <is>
          <t>SAB2</t>
        </is>
      </c>
      <c r="W1" s="0" t="inlineStr">
        <is>
          <t>SAP2</t>
        </is>
      </c>
      <c r="X1" s="0" t="inlineStr">
        <is>
          <t>SKJ2</t>
        </is>
      </c>
      <c r="Y1" s="0" t="inlineStr">
        <is>
          <t>SSM2</t>
        </is>
      </c>
      <c r="Z1" s="0" t="inlineStr">
        <is>
          <t>RKU2</t>
        </is>
      </c>
      <c r="AA1" s="0" t="inlineStr">
        <is>
          <t>RJKU II</t>
        </is>
      </c>
      <c r="AB1" s="0" t="inlineStr">
        <is>
          <t>RMS II</t>
        </is>
      </c>
      <c r="AC1" s="0" t="inlineStr">
        <is>
          <t>ZSCCK</t>
        </is>
      </c>
      <c r="AD1" s="0" t="inlineStr">
        <is>
          <t>ZSCM</t>
        </is>
      </c>
      <c r="AE1" s="0" t="inlineStr">
        <is>
          <t>ZSCS</t>
        </is>
      </c>
      <c r="AF1" s="0" t="inlineStr">
        <is>
          <t>RJTS500</t>
        </is>
      </c>
      <c r="AG1" s="0" t="inlineStr">
        <is>
          <t>RJMS500</t>
        </is>
      </c>
      <c r="AH1" s="0" t="inlineStr">
        <is>
          <t>SCB</t>
        </is>
      </c>
      <c r="AI1" s="0" t="inlineStr">
        <is>
          <t>ZSCST</t>
        </is>
      </c>
      <c r="AJ1" s="0" t="inlineStr">
        <is>
          <t>SGK</t>
        </is>
      </c>
      <c r="AK1" s="0" t="inlineStr">
        <is>
          <t>DOT</t>
        </is>
      </c>
      <c r="AL1" s="0" t="inlineStr">
        <is>
          <t>ICK GT II</t>
        </is>
      </c>
      <c r="AM1" s="0" t="inlineStr">
        <is>
          <t>ICC II GT</t>
        </is>
      </c>
      <c r="AN1" s="0" t="inlineStr">
        <is>
          <t>ISC GT</t>
        </is>
      </c>
      <c r="AO1" s="0" t="inlineStr">
        <is>
          <t>IST GT</t>
        </is>
      </c>
      <c r="AP1" s="0" t="inlineStr">
        <is>
          <t>IBL GT</t>
        </is>
      </c>
      <c r="AQ1" s="0" t="inlineStr">
        <is>
          <t>ICO GT</t>
        </is>
      </c>
      <c r="AR1" s="0" t="inlineStr">
        <is>
          <t>IGC</t>
        </is>
      </c>
      <c r="AS1" s="0" t="inlineStr">
        <is>
          <t>SRC III</t>
        </is>
      </c>
      <c r="AT1" s="0" t="inlineStr">
        <is>
          <t>SCC III</t>
        </is>
      </c>
      <c r="AU1" s="0" t="inlineStr">
        <is>
          <t>SRM III</t>
        </is>
      </c>
      <c r="AV1" s="0" t="inlineStr">
        <is>
          <t>ZCRCC</t>
        </is>
      </c>
      <c r="AW1" s="0" t="inlineStr">
        <is>
          <t>ZCRCR</t>
        </is>
      </c>
      <c r="AX1" s="0" t="inlineStr">
        <is>
          <t>ZCRCB</t>
        </is>
      </c>
      <c r="AY1" s="0" t="inlineStr">
        <is>
          <t>SRS</t>
        </is>
      </c>
      <c r="AZ1" s="0" t="inlineStr">
        <is>
          <t>ZCRGC</t>
        </is>
      </c>
      <c r="BA1" s="0" t="inlineStr">
        <is>
          <t>DIC</t>
        </is>
      </c>
      <c r="BB1" s="0" t="inlineStr">
        <is>
          <t>DCP</t>
        </is>
      </c>
      <c r="BC1" s="0" t="inlineStr">
        <is>
          <t>DHF</t>
        </is>
      </c>
      <c r="BD1" s="0" t="inlineStr">
        <is>
          <t>DST</t>
        </is>
      </c>
      <c r="BE1" s="0" t="inlineStr">
        <is>
          <t>DPS</t>
        </is>
      </c>
      <c r="BF1" s="0" t="inlineStr">
        <is>
          <t>DNS</t>
        </is>
      </c>
      <c r="BG1" s="0" t="inlineStr">
        <is>
          <t>RKJ2</t>
        </is>
      </c>
      <c r="BH1" s="0" t="inlineStr">
        <is>
          <t>RSM2</t>
        </is>
      </c>
      <c r="BI1" s="0" t="inlineStr">
        <is>
          <t>RKS2</t>
        </is>
      </c>
      <c r="BJ1" s="0" t="inlineStr">
        <is>
          <t>TOCII5S</t>
        </is>
      </c>
      <c r="BK1" s="0" t="inlineStr">
        <is>
          <t>TCCII5S</t>
        </is>
      </c>
      <c r="BL1" s="0" t="inlineStr">
        <is>
          <t>TCSII5S</t>
        </is>
      </c>
      <c r="BM1" s="0" t="inlineStr">
        <is>
          <t>TSTII5S</t>
        </is>
      </c>
      <c r="BN1" s="0" t="inlineStr">
        <is>
          <t>TCBII5S</t>
        </is>
      </c>
      <c r="BO1" s="0" t="inlineStr">
        <is>
          <t>KKM</t>
        </is>
      </c>
      <c r="BP1" s="0" t="inlineStr">
        <is>
          <t>RMNC</t>
        </is>
      </c>
      <c r="BQ1" s="0" t="inlineStr">
        <is>
          <t>RMNS</t>
        </is>
      </c>
      <c r="BR1" s="0" t="inlineStr">
        <is>
          <t>TDOC 72</t>
        </is>
      </c>
      <c r="BS1" s="0" t="inlineStr">
        <is>
          <t>TDCC 72</t>
        </is>
      </c>
      <c r="BT1" s="0" t="inlineStr">
        <is>
          <t>TDCS 72</t>
        </is>
      </c>
      <c r="BU1" s="0" t="inlineStr">
        <is>
          <t>BURII</t>
        </is>
      </c>
      <c r="BV1" s="0" t="inlineStr">
        <is>
          <t>CCC</t>
        </is>
      </c>
      <c r="BW1" s="0" t="inlineStr">
        <is>
          <t>CCP</t>
        </is>
      </c>
      <c r="BX1" s="0" t="inlineStr">
        <is>
          <t>CCMS</t>
        </is>
      </c>
      <c r="BY1" s="0" t="inlineStr">
        <is>
          <t>STCB</t>
        </is>
      </c>
      <c r="BZ1" s="0" t="inlineStr">
        <is>
          <t>BMO</t>
        </is>
      </c>
      <c r="CA1" s="0" t="inlineStr">
        <is>
          <t>WFO</t>
        </is>
      </c>
      <c r="CB1" s="0" t="inlineStr">
        <is>
          <t>STCDC</t>
        </is>
      </c>
      <c r="CC1" s="0" t="inlineStr">
        <is>
          <t>MNC</t>
        </is>
      </c>
      <c r="CD1" s="0" t="inlineStr">
        <is>
          <t>BKOR</t>
        </is>
      </c>
    </row>
    <row r="2" spans="1:82">
      <c r="A2" s="0" t="inlineStr">
        <is>
          <t>No</t>
        </is>
      </c>
      <c r="B2" s="0" t="inlineStr">
        <is>
          <t>Tanggal</t>
        </is>
      </c>
      <c r="C2" s="0" t="inlineStr">
        <is>
          <t>Salesman Code</t>
        </is>
      </c>
      <c r="D2" s="0" t="inlineStr">
        <is>
          <t>Salesman Name</t>
        </is>
      </c>
      <c r="E2" s="0" t="inlineStr">
        <is>
          <t>Store</t>
        </is>
      </c>
      <c r="F2" s="0" t="inlineStr">
        <is>
          <t>Store Type</t>
        </is>
      </c>
      <c r="G2" s="0" t="inlineStr">
        <is>
          <t>Classification</t>
        </is>
      </c>
      <c r="H2" s="0" t="inlineStr">
        <is>
          <t>Sales Type</t>
        </is>
      </c>
      <c r="I2" s="0" t="inlineStr">
        <is>
          <t>Remarks</t>
        </is>
      </c>
      <c r="J2" s="0" t="inlineStr">
        <is>
          <t>Disc %</t>
        </is>
      </c>
      <c r="K2" s="0" t="inlineStr">
        <is>
          <t>CBP</t>
        </is>
      </c>
      <c r="L2" s="0" t="inlineStr">
        <is>
          <t>RBP</t>
        </is>
      </c>
      <c r="M2" s="0" t="inlineStr">
        <is>
          <t>RBP Net</t>
        </is>
      </c>
      <c r="N2" s="0" t="inlineStr">
        <is>
          <t>Qty</t>
        </is>
      </c>
      <c r="O2" s="0" t="inlineStr">
        <is>
          <t># Items</t>
        </is>
      </c>
      <c r="P2" s="0">
        <v>15000</v>
      </c>
      <c r="Q2" s="0">
        <v>22000</v>
      </c>
      <c r="R2" s="0">
        <v>19000</v>
      </c>
      <c r="S2" s="0">
        <v>19500</v>
      </c>
      <c r="T2" s="0">
        <v>13500</v>
      </c>
      <c r="U2" s="0">
        <v>6000</v>
      </c>
      <c r="V2" s="0">
        <v>6000</v>
      </c>
      <c r="W2" s="0">
        <v>6000</v>
      </c>
      <c r="X2" s="0">
        <v>6000</v>
      </c>
      <c r="Y2" s="0">
        <v>6000</v>
      </c>
      <c r="Z2" s="0">
        <v>18000</v>
      </c>
      <c r="AA2" s="0">
        <v>21000</v>
      </c>
      <c r="AB2" s="0">
        <v>14500</v>
      </c>
      <c r="AC2" s="0">
        <v>5000</v>
      </c>
      <c r="AD2" s="0">
        <v>5000</v>
      </c>
      <c r="AE2" s="0">
        <v>5000</v>
      </c>
      <c r="AF2" s="0">
        <v>18000</v>
      </c>
      <c r="AG2" s="0">
        <v>18000</v>
      </c>
      <c r="AH2" s="0">
        <v>6000</v>
      </c>
      <c r="AI2" s="0">
        <v>5000</v>
      </c>
      <c r="AJ2" s="0">
        <v>6000</v>
      </c>
      <c r="AK2" s="0">
        <v>19500</v>
      </c>
      <c r="AL2" s="0">
        <v>4500</v>
      </c>
      <c r="AM2" s="0">
        <v>4500</v>
      </c>
      <c r="AN2" s="0">
        <v>4500</v>
      </c>
      <c r="AO2" s="0">
        <v>4500</v>
      </c>
      <c r="AP2" s="0">
        <v>4500</v>
      </c>
      <c r="AQ2" s="0">
        <v>4500</v>
      </c>
      <c r="AR2" s="0">
        <v>6000</v>
      </c>
      <c r="AS2" s="0">
        <v>5500</v>
      </c>
      <c r="AT2" s="0">
        <v>5500</v>
      </c>
      <c r="AU2" s="0">
        <v>5500</v>
      </c>
      <c r="AV2" s="0">
        <v>5500</v>
      </c>
      <c r="AW2" s="0">
        <v>5500</v>
      </c>
      <c r="AX2" s="0">
        <v>5500</v>
      </c>
      <c r="AY2" s="0">
        <v>5500</v>
      </c>
      <c r="AZ2" s="0">
        <v>6000</v>
      </c>
      <c r="BA2" s="0">
        <v>6500</v>
      </c>
      <c r="BB2" s="0">
        <v>6500</v>
      </c>
      <c r="BC2" s="0">
        <v>6000</v>
      </c>
      <c r="BD2" s="0">
        <v>6500</v>
      </c>
      <c r="BE2" s="0">
        <v>6500</v>
      </c>
      <c r="BF2" s="0">
        <v>6500</v>
      </c>
      <c r="BG2" s="0">
        <v>15000</v>
      </c>
      <c r="BH2" s="0">
        <v>11500</v>
      </c>
      <c r="BI2" s="0">
        <v>12000</v>
      </c>
      <c r="BJ2" s="0">
        <v>18000</v>
      </c>
      <c r="BK2" s="0">
        <v>18000</v>
      </c>
      <c r="BL2" s="0">
        <v>18000</v>
      </c>
      <c r="BM2" s="0">
        <v>19000</v>
      </c>
      <c r="BN2" s="0">
        <v>19000</v>
      </c>
      <c r="BO2" s="0">
        <v>12500</v>
      </c>
      <c r="BP2" s="0">
        <v>8000</v>
      </c>
      <c r="BQ2" s="0">
        <v>8000</v>
      </c>
      <c r="BR2" s="0">
        <v>9000</v>
      </c>
      <c r="BS2" s="0">
        <v>9000</v>
      </c>
      <c r="BT2" s="0">
        <v>9000</v>
      </c>
      <c r="BU2" s="0">
        <v>11000</v>
      </c>
      <c r="BV2" s="0">
        <v>5000</v>
      </c>
      <c r="BW2" s="0">
        <v>5000</v>
      </c>
      <c r="BX2" s="0">
        <v>5000</v>
      </c>
      <c r="BY2" s="0">
        <v>10000</v>
      </c>
      <c r="BZ2" s="0">
        <v>5000</v>
      </c>
      <c r="CA2" s="0">
        <v>5000</v>
      </c>
      <c r="CB2" s="0">
        <v>7000</v>
      </c>
      <c r="CC2" s="0">
        <v>6000</v>
      </c>
      <c r="CD2" s="0">
        <v>11000</v>
      </c>
    </row>
    <row r="3" spans="1:82">
      <c r="A3" s="0">
        <v>1</v>
      </c>
      <c r="B3" s="0" t="inlineStr">
        <is>
          <t>2026-07-04</t>
        </is>
      </c>
      <c r="C3" s="0" t="inlineStr">
        <is>
          <t>71306761</t>
        </is>
      </c>
      <c r="D3" s="0" t="inlineStr">
        <is>
          <t>SMTR-01</t>
        </is>
      </c>
      <c r="E3" s="0" t="inlineStr">
        <is>
          <t>(1881578329)AGIL TOKO</t>
        </is>
      </c>
      <c r="F3" s="0" t="inlineStr">
        <is>
          <t>WARUNG NOO</t>
        </is>
      </c>
      <c r="G3" s="0" t="inlineStr">
        <is>
          <t>WARUNG NOO</t>
        </is>
      </c>
      <c r="H3" s="0" t="inlineStr">
        <is>
          <t>Consignment</t>
        </is>
      </c>
      <c r="J3" s="0">
        <v>10</v>
      </c>
      <c r="K3" s="0">
        <f>(P2*P3)+(Q2*Q3)+(R2*R3)+(S2*S3)+(T2*T3)+(U2*U3)+(V2*V3)+(W2*W3)+(X2*X3)+(Y2*Y3)+(Z2*Z3)+(AA2*AA3)+(AB2*AB3)+(AC2*AC3)+(AD2*AD3)+(AE2*AE3)+(AF2*AF3)+(AG2*AG3)+(AH2*AH3)+(AI2*AI3)+(AJ2*AJ3)+(AK2*AK3)+(AL2*AL3)+(AM2*AM3)+(AN2*AN3)+(AO2*AO3)+(AP2*AP3)+(AQ2*AQ3)+(AR2*AR3)+(AS2*AS3)+(AT2*AT3)+(AU2*AU3)+(AV2*AV3)+(AW2*AW3)+(AX2*AX3)+(AY2*AY3)+(AZ2*AZ3)+(BA2*BA3)+(BB2*BB3)+(BC2*BC3)+(BD2*BD3)+(BE2*BE3)+(BF2*BF3)+(BG2*BG3)+(BH2*BH3)+(BI2*BI3)+(BJ2*BJ3)+(BK2*BK3)+(BL2*BL3)+(BM2*BM3)+(BN2*BN3)+(BO2*BO3)+(BP2*BP3)+(BQ2*BQ3)+(BR2*BR3)+(BS2*BS3)+(BT2*BT3)+(BU2*BU3)+(BV2*BV3)+(BW2*BW3)+(BX2*BX3)+(BY2*BY3)+(BZ2*BZ3)+(CA2*CA3)+(CB2*CB3)+(CC2*CC3)+(CD2*CD3)</f>
        <v/>
      </c>
      <c r="L3" s="0">
        <f>K3-(K3*J3/100)</f>
        <v/>
      </c>
      <c r="M3" s="0">
        <f>ROUND(L3/1.11, 2)</f>
        <v/>
      </c>
      <c r="N3" s="0">
        <f>SUM(P3:CD3)</f>
        <v/>
      </c>
      <c r="O3" s="0">
        <f>COUNTIF(P3:CD3,"&gt;0")</f>
        <v/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</row>
    <row r="4" spans="1:82">
      <c r="A4" s="0">
        <v>2</v>
      </c>
      <c r="B4" s="0" t="inlineStr">
        <is>
          <t>2026-07-04</t>
        </is>
      </c>
      <c r="C4" s="0" t="inlineStr">
        <is>
          <t>71306761</t>
        </is>
      </c>
      <c r="D4" s="0" t="inlineStr">
        <is>
          <t>SMTR-01</t>
        </is>
      </c>
      <c r="E4" s="0" t="inlineStr">
        <is>
          <t>(1881578393)AULIA TOKO</t>
        </is>
      </c>
      <c r="F4" s="0" t="inlineStr">
        <is>
          <t>WARUNG NOO</t>
        </is>
      </c>
      <c r="G4" s="0" t="inlineStr">
        <is>
          <t>WARUNG NOO</t>
        </is>
      </c>
      <c r="H4" s="0" t="inlineStr">
        <is>
          <t>Consignment</t>
        </is>
      </c>
      <c r="J4" s="0">
        <v>10</v>
      </c>
      <c r="K4" s="0">
        <f>(P2*P4)+(Q2*Q4)+(R2*R4)+(S2*S4)+(T2*T4)+(U2*U4)+(V2*V4)+(W2*W4)+(X2*X4)+(Y2*Y4)+(Z2*Z4)+(AA2*AA4)+(AB2*AB4)+(AC2*AC4)+(AD2*AD4)+(AE2*AE4)+(AF2*AF4)+(AG2*AG4)+(AH2*AH4)+(AI2*AI4)+(AJ2*AJ4)+(AK2*AK4)+(AL2*AL4)+(AM2*AM4)+(AN2*AN4)+(AO2*AO4)+(AP2*AP4)+(AQ2*AQ4)+(AR2*AR4)+(AS2*AS4)+(AT2*AT4)+(AU2*AU4)+(AV2*AV4)+(AW2*AW4)+(AX2*AX4)+(AY2*AY4)+(AZ2*AZ4)+(BA2*BA4)+(BB2*BB4)+(BC2*BC4)+(BD2*BD4)+(BE2*BE4)+(BF2*BF4)+(BG2*BG4)+(BH2*BH4)+(BI2*BI4)+(BJ2*BJ4)+(BK2*BK4)+(BL2*BL4)+(BM2*BM4)+(BN2*BN4)+(BO2*BO4)+(BP2*BP4)+(BQ2*BQ4)+(BR2*BR4)+(BS2*BS4)+(BT2*BT4)+(BU2*BU4)+(BV2*BV4)+(BW2*BW4)+(BX2*BX4)+(BY2*BY4)+(BZ2*BZ4)+(CA2*CA4)+(CB2*CB4)+(CC2*CC4)+(CD2*CD4)</f>
        <v/>
      </c>
      <c r="L4" s="0">
        <f>K4-(K4*J4/100)</f>
        <v/>
      </c>
      <c r="M4" s="0">
        <f>ROUND(L4/1.11, 2)</f>
        <v/>
      </c>
      <c r="N4" s="0">
        <f>SUM(P4:CD4)</f>
        <v/>
      </c>
      <c r="O4" s="0">
        <f>COUNTIF(P4:CD4,"&gt;0")</f>
        <v/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</row>
    <row r="5" spans="1:82">
      <c r="A5" s="0">
        <v>3</v>
      </c>
      <c r="B5" s="0" t="inlineStr">
        <is>
          <t>2026-07-04</t>
        </is>
      </c>
      <c r="C5" s="0" t="inlineStr">
        <is>
          <t>71306761</t>
        </is>
      </c>
      <c r="D5" s="0" t="inlineStr">
        <is>
          <t>SMTR-01</t>
        </is>
      </c>
      <c r="E5" s="0" t="inlineStr">
        <is>
          <t>(1881578394)SRI WAHYUNI TOKO</t>
        </is>
      </c>
      <c r="F5" s="0" t="inlineStr">
        <is>
          <t>WARUNG NOO</t>
        </is>
      </c>
      <c r="G5" s="0" t="inlineStr">
        <is>
          <t>WARUNG NOO</t>
        </is>
      </c>
      <c r="H5" s="0" t="inlineStr">
        <is>
          <t>Consignment</t>
        </is>
      </c>
      <c r="J5" s="0">
        <v>10</v>
      </c>
      <c r="K5" s="0">
        <f>(P2*P5)+(Q2*Q5)+(R2*R5)+(S2*S5)+(T2*T5)+(U2*U5)+(V2*V5)+(W2*W5)+(X2*X5)+(Y2*Y5)+(Z2*Z5)+(AA2*AA5)+(AB2*AB5)+(AC2*AC5)+(AD2*AD5)+(AE2*AE5)+(AF2*AF5)+(AG2*AG5)+(AH2*AH5)+(AI2*AI5)+(AJ2*AJ5)+(AK2*AK5)+(AL2*AL5)+(AM2*AM5)+(AN2*AN5)+(AO2*AO5)+(AP2*AP5)+(AQ2*AQ5)+(AR2*AR5)+(AS2*AS5)+(AT2*AT5)+(AU2*AU5)+(AV2*AV5)+(AW2*AW5)+(AX2*AX5)+(AY2*AY5)+(AZ2*AZ5)+(BA2*BA5)+(BB2*BB5)+(BC2*BC5)+(BD2*BD5)+(BE2*BE5)+(BF2*BF5)+(BG2*BG5)+(BH2*BH5)+(BI2*BI5)+(BJ2*BJ5)+(BK2*BK5)+(BL2*BL5)+(BM2*BM5)+(BN2*BN5)+(BO2*BO5)+(BP2*BP5)+(BQ2*BQ5)+(BR2*BR5)+(BS2*BS5)+(BT2*BT5)+(BU2*BU5)+(BV2*BV5)+(BW2*BW5)+(BX2*BX5)+(BY2*BY5)+(BZ2*BZ5)+(CA2*CA5)+(CB2*CB5)+(CC2*CC5)+(CD2*CD5)</f>
        <v/>
      </c>
      <c r="L5" s="0">
        <f>K5-(K5*J5/100)</f>
        <v/>
      </c>
      <c r="M5" s="0">
        <f>ROUND(L5/1.11, 2)</f>
        <v/>
      </c>
      <c r="N5" s="0">
        <f>SUM(P5:CD5)</f>
        <v/>
      </c>
      <c r="O5" s="0">
        <f>COUNTIF(P5:CD5,"&gt;0")</f>
        <v/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</row>
    <row r="6" spans="1:82">
      <c r="A6" s="0">
        <v>4</v>
      </c>
      <c r="B6" s="0" t="inlineStr">
        <is>
          <t>2026-07-04</t>
        </is>
      </c>
      <c r="C6" s="0" t="inlineStr">
        <is>
          <t>71306761</t>
        </is>
      </c>
      <c r="D6" s="0" t="inlineStr">
        <is>
          <t>SMTR-01</t>
        </is>
      </c>
      <c r="E6" s="0" t="inlineStr">
        <is>
          <t>(1881578396)S MART</t>
        </is>
      </c>
      <c r="F6" s="0" t="inlineStr">
        <is>
          <t>MTI NOO</t>
        </is>
      </c>
      <c r="G6" s="0" t="inlineStr">
        <is>
          <t>MTI NOO</t>
        </is>
      </c>
      <c r="H6" s="0" t="inlineStr">
        <is>
          <t>Consignment</t>
        </is>
      </c>
      <c r="J6" s="0">
        <v>10</v>
      </c>
      <c r="K6" s="0">
        <f>(P2*P6)+(Q2*Q6)+(R2*R6)+(S2*S6)+(T2*T6)+(U2*U6)+(V2*V6)+(W2*W6)+(X2*X6)+(Y2*Y6)+(Z2*Z6)+(AA2*AA6)+(AB2*AB6)+(AC2*AC6)+(AD2*AD6)+(AE2*AE6)+(AF2*AF6)+(AG2*AG6)+(AH2*AH6)+(AI2*AI6)+(AJ2*AJ6)+(AK2*AK6)+(AL2*AL6)+(AM2*AM6)+(AN2*AN6)+(AO2*AO6)+(AP2*AP6)+(AQ2*AQ6)+(AR2*AR6)+(AS2*AS6)+(AT2*AT6)+(AU2*AU6)+(AV2*AV6)+(AW2*AW6)+(AX2*AX6)+(AY2*AY6)+(AZ2*AZ6)+(BA2*BA6)+(BB2*BB6)+(BC2*BC6)+(BD2*BD6)+(BE2*BE6)+(BF2*BF6)+(BG2*BG6)+(BH2*BH6)+(BI2*BI6)+(BJ2*BJ6)+(BK2*BK6)+(BL2*BL6)+(BM2*BM6)+(BN2*BN6)+(BO2*BO6)+(BP2*BP6)+(BQ2*BQ6)+(BR2*BR6)+(BS2*BS6)+(BT2*BT6)+(BU2*BU6)+(BV2*BV6)+(BW2*BW6)+(BX2*BX6)+(BY2*BY6)+(BZ2*BZ6)+(CA2*CA6)+(CB2*CB6)+(CC2*CC6)+(CD2*CD6)</f>
        <v/>
      </c>
      <c r="L6" s="0">
        <f>K6-(K6*J6/100)</f>
        <v/>
      </c>
      <c r="M6" s="0">
        <f>ROUND(L6/1.11, 2)</f>
        <v/>
      </c>
      <c r="N6" s="0">
        <f>SUM(P6:CD6)</f>
        <v/>
      </c>
      <c r="O6" s="0">
        <f>COUNTIF(P6:CD6,"&gt;0")</f>
        <v/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</row>
    <row r="7" spans="1:82">
      <c r="A7" s="0">
        <v>5</v>
      </c>
      <c r="B7" s="0" t="inlineStr">
        <is>
          <t>2026-07-04</t>
        </is>
      </c>
      <c r="C7" s="0" t="inlineStr">
        <is>
          <t>71306761</t>
        </is>
      </c>
      <c r="D7" s="0" t="inlineStr">
        <is>
          <t>SMTR-01</t>
        </is>
      </c>
      <c r="E7" s="0" t="inlineStr">
        <is>
          <t>(1881578398)UCOK ALI TOKO</t>
        </is>
      </c>
      <c r="F7" s="0" t="inlineStr">
        <is>
          <t>WARUNG NOO</t>
        </is>
      </c>
      <c r="G7" s="0" t="inlineStr">
        <is>
          <t>WARUNG NOO</t>
        </is>
      </c>
      <c r="H7" s="0" t="inlineStr">
        <is>
          <t>Consignment</t>
        </is>
      </c>
      <c r="J7" s="0">
        <v>10</v>
      </c>
      <c r="K7" s="0">
        <f>(P2*P7)+(Q2*Q7)+(R2*R7)+(S2*S7)+(T2*T7)+(U2*U7)+(V2*V7)+(W2*W7)+(X2*X7)+(Y2*Y7)+(Z2*Z7)+(AA2*AA7)+(AB2*AB7)+(AC2*AC7)+(AD2*AD7)+(AE2*AE7)+(AF2*AF7)+(AG2*AG7)+(AH2*AH7)+(AI2*AI7)+(AJ2*AJ7)+(AK2*AK7)+(AL2*AL7)+(AM2*AM7)+(AN2*AN7)+(AO2*AO7)+(AP2*AP7)+(AQ2*AQ7)+(AR2*AR7)+(AS2*AS7)+(AT2*AT7)+(AU2*AU7)+(AV2*AV7)+(AW2*AW7)+(AX2*AX7)+(AY2*AY7)+(AZ2*AZ7)+(BA2*BA7)+(BB2*BB7)+(BC2*BC7)+(BD2*BD7)+(BE2*BE7)+(BF2*BF7)+(BG2*BG7)+(BH2*BH7)+(BI2*BI7)+(BJ2*BJ7)+(BK2*BK7)+(BL2*BL7)+(BM2*BM7)+(BN2*BN7)+(BO2*BO7)+(BP2*BP7)+(BQ2*BQ7)+(BR2*BR7)+(BS2*BS7)+(BT2*BT7)+(BU2*BU7)+(BV2*BV7)+(BW2*BW7)+(BX2*BX7)+(BY2*BY7)+(BZ2*BZ7)+(CA2*CA7)+(CB2*CB7)+(CC2*CC7)+(CD2*CD7)</f>
        <v/>
      </c>
      <c r="L7" s="0">
        <f>K7-(K7*J7/100)</f>
        <v/>
      </c>
      <c r="M7" s="0">
        <f>ROUND(L7/1.11, 2)</f>
        <v/>
      </c>
      <c r="N7" s="0">
        <f>SUM(P7:CD7)</f>
        <v/>
      </c>
      <c r="O7" s="0">
        <f>COUNTIF(P7:CD7,"&gt;0")</f>
        <v/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</row>
    <row r="8" spans="1:82">
      <c r="A8" s="0">
        <v>6</v>
      </c>
      <c r="B8" s="0" t="inlineStr">
        <is>
          <t>2026-07-04</t>
        </is>
      </c>
      <c r="C8" s="0" t="inlineStr">
        <is>
          <t>71306761</t>
        </is>
      </c>
      <c r="D8" s="0" t="inlineStr">
        <is>
          <t>SMTR-01</t>
        </is>
      </c>
      <c r="E8" s="0" t="inlineStr">
        <is>
          <t>(1881578399)ARHAM TOKO</t>
        </is>
      </c>
      <c r="F8" s="0" t="inlineStr">
        <is>
          <t>WARUNG NOO</t>
        </is>
      </c>
      <c r="G8" s="0" t="inlineStr">
        <is>
          <t>WARUNG NOO</t>
        </is>
      </c>
      <c r="H8" s="0" t="inlineStr">
        <is>
          <t>Consignment</t>
        </is>
      </c>
      <c r="J8" s="0">
        <v>10</v>
      </c>
      <c r="K8" s="0">
        <f>(P2*P8)+(Q2*Q8)+(R2*R8)+(S2*S8)+(T2*T8)+(U2*U8)+(V2*V8)+(W2*W8)+(X2*X8)+(Y2*Y8)+(Z2*Z8)+(AA2*AA8)+(AB2*AB8)+(AC2*AC8)+(AD2*AD8)+(AE2*AE8)+(AF2*AF8)+(AG2*AG8)+(AH2*AH8)+(AI2*AI8)+(AJ2*AJ8)+(AK2*AK8)+(AL2*AL8)+(AM2*AM8)+(AN2*AN8)+(AO2*AO8)+(AP2*AP8)+(AQ2*AQ8)+(AR2*AR8)+(AS2*AS8)+(AT2*AT8)+(AU2*AU8)+(AV2*AV8)+(AW2*AW8)+(AX2*AX8)+(AY2*AY8)+(AZ2*AZ8)+(BA2*BA8)+(BB2*BB8)+(BC2*BC8)+(BD2*BD8)+(BE2*BE8)+(BF2*BF8)+(BG2*BG8)+(BH2*BH8)+(BI2*BI8)+(BJ2*BJ8)+(BK2*BK8)+(BL2*BL8)+(BM2*BM8)+(BN2*BN8)+(BO2*BO8)+(BP2*BP8)+(BQ2*BQ8)+(BR2*BR8)+(BS2*BS8)+(BT2*BT8)+(BU2*BU8)+(BV2*BV8)+(BW2*BW8)+(BX2*BX8)+(BY2*BY8)+(BZ2*BZ8)+(CA2*CA8)+(CB2*CB8)+(CC2*CC8)+(CD2*CD8)</f>
        <v/>
      </c>
      <c r="L8" s="0">
        <f>K8-(K8*J8/100)</f>
        <v/>
      </c>
      <c r="M8" s="0">
        <f>ROUND(L8/1.11, 2)</f>
        <v/>
      </c>
      <c r="N8" s="0">
        <f>SUM(P8:CD8)</f>
        <v/>
      </c>
      <c r="O8" s="0">
        <f>COUNTIF(P8:CD8,"&gt;0")</f>
        <v/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</row>
    <row r="9" spans="1:82">
      <c r="A9" s="0">
        <v>7</v>
      </c>
      <c r="B9" s="0" t="inlineStr">
        <is>
          <t>2026-07-04</t>
        </is>
      </c>
      <c r="C9" s="0" t="inlineStr">
        <is>
          <t>71306761</t>
        </is>
      </c>
      <c r="D9" s="0" t="inlineStr">
        <is>
          <t>SMTR-01</t>
        </is>
      </c>
      <c r="E9" s="0" t="inlineStr">
        <is>
          <t>(1881578401)KLINIK NURDIN WAHID KANTIN</t>
        </is>
      </c>
      <c r="F9" s="0" t="inlineStr">
        <is>
          <t>RUMAH SAKIT</t>
        </is>
      </c>
      <c r="G9" s="0" t="inlineStr">
        <is>
          <t>LAYANAN KESEHATAN</t>
        </is>
      </c>
      <c r="H9" s="0" t="inlineStr">
        <is>
          <t>Consignment</t>
        </is>
      </c>
      <c r="J9" s="0">
        <v>10</v>
      </c>
      <c r="K9" s="0">
        <f>(P2*P9)+(Q2*Q9)+(R2*R9)+(S2*S9)+(T2*T9)+(U2*U9)+(V2*V9)+(W2*W9)+(X2*X9)+(Y2*Y9)+(Z2*Z9)+(AA2*AA9)+(AB2*AB9)+(AC2*AC9)+(AD2*AD9)+(AE2*AE9)+(AF2*AF9)+(AG2*AG9)+(AH2*AH9)+(AI2*AI9)+(AJ2*AJ9)+(AK2*AK9)+(AL2*AL9)+(AM2*AM9)+(AN2*AN9)+(AO2*AO9)+(AP2*AP9)+(AQ2*AQ9)+(AR2*AR9)+(AS2*AS9)+(AT2*AT9)+(AU2*AU9)+(AV2*AV9)+(AW2*AW9)+(AX2*AX9)+(AY2*AY9)+(AZ2*AZ9)+(BA2*BA9)+(BB2*BB9)+(BC2*BC9)+(BD2*BD9)+(BE2*BE9)+(BF2*BF9)+(BG2*BG9)+(BH2*BH9)+(BI2*BI9)+(BJ2*BJ9)+(BK2*BK9)+(BL2*BL9)+(BM2*BM9)+(BN2*BN9)+(BO2*BO9)+(BP2*BP9)+(BQ2*BQ9)+(BR2*BR9)+(BS2*BS9)+(BT2*BT9)+(BU2*BU9)+(BV2*BV9)+(BW2*BW9)+(BX2*BX9)+(BY2*BY9)+(BZ2*BZ9)+(CA2*CA9)+(CB2*CB9)+(CC2*CC9)+(CD2*CD9)</f>
        <v/>
      </c>
      <c r="L9" s="0">
        <f>K9-(K9*J9/100)</f>
        <v/>
      </c>
      <c r="M9" s="0">
        <f>ROUND(L9/1.11, 2)</f>
        <v/>
      </c>
      <c r="N9" s="0">
        <f>SUM(P9:CD9)</f>
        <v/>
      </c>
      <c r="O9" s="0">
        <f>COUNTIF(P9:CD9,"&gt;0")</f>
        <v/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</row>
    <row r="10" spans="1:82">
      <c r="A10" s="0">
        <v>8</v>
      </c>
      <c r="B10" s="0" t="inlineStr">
        <is>
          <t>2026-07-04</t>
        </is>
      </c>
      <c r="C10" s="0" t="inlineStr">
        <is>
          <t>71306761</t>
        </is>
      </c>
      <c r="D10" s="0" t="inlineStr">
        <is>
          <t>SMTR-01</t>
        </is>
      </c>
      <c r="E10" s="0" t="inlineStr">
        <is>
          <t>(1881578402)RAHMAN TOKO</t>
        </is>
      </c>
      <c r="F10" s="0" t="inlineStr">
        <is>
          <t>WARUNG NOO</t>
        </is>
      </c>
      <c r="G10" s="0" t="inlineStr">
        <is>
          <t>WARUNG NOO</t>
        </is>
      </c>
      <c r="H10" s="0" t="inlineStr">
        <is>
          <t>Consignment</t>
        </is>
      </c>
      <c r="J10" s="0">
        <v>10</v>
      </c>
      <c r="K10" s="0">
        <f>(P2*P10)+(Q2*Q10)+(R2*R10)+(S2*S10)+(T2*T10)+(U2*U10)+(V2*V10)+(W2*W10)+(X2*X10)+(Y2*Y10)+(Z2*Z10)+(AA2*AA10)+(AB2*AB10)+(AC2*AC10)+(AD2*AD10)+(AE2*AE10)+(AF2*AF10)+(AG2*AG10)+(AH2*AH10)+(AI2*AI10)+(AJ2*AJ10)+(AK2*AK10)+(AL2*AL10)+(AM2*AM10)+(AN2*AN10)+(AO2*AO10)+(AP2*AP10)+(AQ2*AQ10)+(AR2*AR10)+(AS2*AS10)+(AT2*AT10)+(AU2*AU10)+(AV2*AV10)+(AW2*AW10)+(AX2*AX10)+(AY2*AY10)+(AZ2*AZ10)+(BA2*BA10)+(BB2*BB10)+(BC2*BC10)+(BD2*BD10)+(BE2*BE10)+(BF2*BF10)+(BG2*BG10)+(BH2*BH10)+(BI2*BI10)+(BJ2*BJ10)+(BK2*BK10)+(BL2*BL10)+(BM2*BM10)+(BN2*BN10)+(BO2*BO10)+(BP2*BP10)+(BQ2*BQ10)+(BR2*BR10)+(BS2*BS10)+(BT2*BT10)+(BU2*BU10)+(BV2*BV10)+(BW2*BW10)+(BX2*BX10)+(BY2*BY10)+(BZ2*BZ10)+(CA2*CA10)+(CB2*CB10)+(CC2*CC10)+(CD2*CD10)</f>
        <v/>
      </c>
      <c r="L10" s="0">
        <f>K10-(K10*J10/100)</f>
        <v/>
      </c>
      <c r="M10" s="0">
        <f>ROUND(L10/1.11, 2)</f>
        <v/>
      </c>
      <c r="N10" s="0">
        <f>SUM(P10:CD10)</f>
        <v/>
      </c>
      <c r="O10" s="0">
        <f>COUNTIF(P10:CD10,"&gt;0")</f>
        <v/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</row>
    <row r="11" spans="1:82">
      <c r="A11" s="0">
        <v>9</v>
      </c>
      <c r="B11" s="0" t="inlineStr">
        <is>
          <t>2026-07-04</t>
        </is>
      </c>
      <c r="C11" s="0" t="inlineStr">
        <is>
          <t>71306761</t>
        </is>
      </c>
      <c r="D11" s="0" t="inlineStr">
        <is>
          <t>SMTR-01</t>
        </is>
      </c>
      <c r="E11" s="0" t="inlineStr">
        <is>
          <t>(1881578403)RESTU CELL</t>
        </is>
      </c>
      <c r="F11" s="0" t="inlineStr">
        <is>
          <t>WARUNG NOO</t>
        </is>
      </c>
      <c r="G11" s="0" t="inlineStr">
        <is>
          <t>WARUNG NOO</t>
        </is>
      </c>
      <c r="H11" s="0" t="inlineStr">
        <is>
          <t>Consignment</t>
        </is>
      </c>
      <c r="J11" s="0">
        <v>10</v>
      </c>
      <c r="K11" s="0">
        <f>(P2*P11)+(Q2*Q11)+(R2*R11)+(S2*S11)+(T2*T11)+(U2*U11)+(V2*V11)+(W2*W11)+(X2*X11)+(Y2*Y11)+(Z2*Z11)+(AA2*AA11)+(AB2*AB11)+(AC2*AC11)+(AD2*AD11)+(AE2*AE11)+(AF2*AF11)+(AG2*AG11)+(AH2*AH11)+(AI2*AI11)+(AJ2*AJ11)+(AK2*AK11)+(AL2*AL11)+(AM2*AM11)+(AN2*AN11)+(AO2*AO11)+(AP2*AP11)+(AQ2*AQ11)+(AR2*AR11)+(AS2*AS11)+(AT2*AT11)+(AU2*AU11)+(AV2*AV11)+(AW2*AW11)+(AX2*AX11)+(AY2*AY11)+(AZ2*AZ11)+(BA2*BA11)+(BB2*BB11)+(BC2*BC11)+(BD2*BD11)+(BE2*BE11)+(BF2*BF11)+(BG2*BG11)+(BH2*BH11)+(BI2*BI11)+(BJ2*BJ11)+(BK2*BK11)+(BL2*BL11)+(BM2*BM11)+(BN2*BN11)+(BO2*BO11)+(BP2*BP11)+(BQ2*BQ11)+(BR2*BR11)+(BS2*BS11)+(BT2*BT11)+(BU2*BU11)+(BV2*BV11)+(BW2*BW11)+(BX2*BX11)+(BY2*BY11)+(BZ2*BZ11)+(CA2*CA11)+(CB2*CB11)+(CC2*CC11)+(CD2*CD11)</f>
        <v/>
      </c>
      <c r="L11" s="0">
        <f>K11-(K11*J11/100)</f>
        <v/>
      </c>
      <c r="M11" s="0">
        <f>ROUND(L11/1.11, 2)</f>
        <v/>
      </c>
      <c r="N11" s="0">
        <f>SUM(P11:CD11)</f>
        <v/>
      </c>
      <c r="O11" s="0">
        <f>COUNTIF(P11:CD11,"&gt;0")</f>
        <v/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</row>
    <row r="12" spans="1:82">
      <c r="A12" s="0">
        <v>10</v>
      </c>
      <c r="B12" s="0" t="inlineStr">
        <is>
          <t>2026-07-04</t>
        </is>
      </c>
      <c r="C12" s="0" t="inlineStr">
        <is>
          <t>71306761</t>
        </is>
      </c>
      <c r="D12" s="0" t="inlineStr">
        <is>
          <t>SMTR-01</t>
        </is>
      </c>
      <c r="E12" s="0" t="inlineStr">
        <is>
          <t>(1881578407)AZIFA RANGKUTI TOKO</t>
        </is>
      </c>
      <c r="F12" s="0" t="inlineStr">
        <is>
          <t>WARUNG NOO</t>
        </is>
      </c>
      <c r="G12" s="0" t="inlineStr">
        <is>
          <t>WARUNG NOO</t>
        </is>
      </c>
      <c r="H12" s="0" t="inlineStr">
        <is>
          <t>Consignment</t>
        </is>
      </c>
      <c r="J12" s="0">
        <v>10</v>
      </c>
      <c r="K12" s="0">
        <f>(P2*P12)+(Q2*Q12)+(R2*R12)+(S2*S12)+(T2*T12)+(U2*U12)+(V2*V12)+(W2*W12)+(X2*X12)+(Y2*Y12)+(Z2*Z12)+(AA2*AA12)+(AB2*AB12)+(AC2*AC12)+(AD2*AD12)+(AE2*AE12)+(AF2*AF12)+(AG2*AG12)+(AH2*AH12)+(AI2*AI12)+(AJ2*AJ12)+(AK2*AK12)+(AL2*AL12)+(AM2*AM12)+(AN2*AN12)+(AO2*AO12)+(AP2*AP12)+(AQ2*AQ12)+(AR2*AR12)+(AS2*AS12)+(AT2*AT12)+(AU2*AU12)+(AV2*AV12)+(AW2*AW12)+(AX2*AX12)+(AY2*AY12)+(AZ2*AZ12)+(BA2*BA12)+(BB2*BB12)+(BC2*BC12)+(BD2*BD12)+(BE2*BE12)+(BF2*BF12)+(BG2*BG12)+(BH2*BH12)+(BI2*BI12)+(BJ2*BJ12)+(BK2*BK12)+(BL2*BL12)+(BM2*BM12)+(BN2*BN12)+(BO2*BO12)+(BP2*BP12)+(BQ2*BQ12)+(BR2*BR12)+(BS2*BS12)+(BT2*BT12)+(BU2*BU12)+(BV2*BV12)+(BW2*BW12)+(BX2*BX12)+(BY2*BY12)+(BZ2*BZ12)+(CA2*CA12)+(CB2*CB12)+(CC2*CC12)+(CD2*CD12)</f>
        <v/>
      </c>
      <c r="L12" s="0">
        <f>K12-(K12*J12/100)</f>
        <v/>
      </c>
      <c r="M12" s="0">
        <f>ROUND(L12/1.11, 2)</f>
        <v/>
      </c>
      <c r="N12" s="0">
        <f>SUM(P12:CD12)</f>
        <v/>
      </c>
      <c r="O12" s="0">
        <f>COUNTIF(P12:CD12,"&gt;0")</f>
        <v/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</row>
    <row r="13" spans="1:82">
      <c r="A13" s="0">
        <v>11</v>
      </c>
      <c r="B13" s="0" t="inlineStr">
        <is>
          <t>2026-07-04</t>
        </is>
      </c>
      <c r="C13" s="0" t="inlineStr">
        <is>
          <t>71306761</t>
        </is>
      </c>
      <c r="D13" s="0" t="inlineStr">
        <is>
          <t>SMTR-01</t>
        </is>
      </c>
      <c r="E13" s="0" t="inlineStr">
        <is>
          <t>(1881578489)KLINIK ANANDA KANTIN</t>
        </is>
      </c>
      <c r="F13" s="0" t="inlineStr">
        <is>
          <t>RUMAH SAKIT</t>
        </is>
      </c>
      <c r="G13" s="0" t="inlineStr">
        <is>
          <t>LAYANAN KESEHATAN</t>
        </is>
      </c>
      <c r="H13" s="0" t="inlineStr">
        <is>
          <t>Consignment</t>
        </is>
      </c>
      <c r="J13" s="0">
        <v>10</v>
      </c>
      <c r="K13" s="0">
        <f>(P2*P13)+(Q2*Q13)+(R2*R13)+(S2*S13)+(T2*T13)+(U2*U13)+(V2*V13)+(W2*W13)+(X2*X13)+(Y2*Y13)+(Z2*Z13)+(AA2*AA13)+(AB2*AB13)+(AC2*AC13)+(AD2*AD13)+(AE2*AE13)+(AF2*AF13)+(AG2*AG13)+(AH2*AH13)+(AI2*AI13)+(AJ2*AJ13)+(AK2*AK13)+(AL2*AL13)+(AM2*AM13)+(AN2*AN13)+(AO2*AO13)+(AP2*AP13)+(AQ2*AQ13)+(AR2*AR13)+(AS2*AS13)+(AT2*AT13)+(AU2*AU13)+(AV2*AV13)+(AW2*AW13)+(AX2*AX13)+(AY2*AY13)+(AZ2*AZ13)+(BA2*BA13)+(BB2*BB13)+(BC2*BC13)+(BD2*BD13)+(BE2*BE13)+(BF2*BF13)+(BG2*BG13)+(BH2*BH13)+(BI2*BI13)+(BJ2*BJ13)+(BK2*BK13)+(BL2*BL13)+(BM2*BM13)+(BN2*BN13)+(BO2*BO13)+(BP2*BP13)+(BQ2*BQ13)+(BR2*BR13)+(BS2*BS13)+(BT2*BT13)+(BU2*BU13)+(BV2*BV13)+(BW2*BW13)+(BX2*BX13)+(BY2*BY13)+(BZ2*BZ13)+(CA2*CA13)+(CB2*CB13)+(CC2*CC13)+(CD2*CD13)</f>
        <v/>
      </c>
      <c r="L13" s="0">
        <f>K13-(K13*J13/100)</f>
        <v/>
      </c>
      <c r="M13" s="0">
        <f>ROUND(L13/1.11, 2)</f>
        <v/>
      </c>
      <c r="N13" s="0">
        <f>SUM(P13:CD13)</f>
        <v/>
      </c>
      <c r="O13" s="0">
        <f>COUNTIF(P13:CD13,"&gt;0")</f>
        <v/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</row>
    <row r="14" spans="1:82">
      <c r="A14" s="0">
        <v>12</v>
      </c>
      <c r="B14" s="0" t="inlineStr">
        <is>
          <t>2026-07-04</t>
        </is>
      </c>
      <c r="C14" s="0" t="inlineStr">
        <is>
          <t>71306761</t>
        </is>
      </c>
      <c r="D14" s="0" t="inlineStr">
        <is>
          <t>SMTR-01</t>
        </is>
      </c>
      <c r="E14" s="0" t="inlineStr">
        <is>
          <t>(1881578585)WARUNG SAYUR ASEP</t>
        </is>
      </c>
      <c r="F14" s="0" t="inlineStr">
        <is>
          <t>WARUNG NOO</t>
        </is>
      </c>
      <c r="G14" s="0" t="inlineStr">
        <is>
          <t>WARUNG NOO</t>
        </is>
      </c>
      <c r="H14" s="0" t="inlineStr">
        <is>
          <t>Consignment</t>
        </is>
      </c>
      <c r="J14" s="0">
        <v>10</v>
      </c>
      <c r="K14" s="0">
        <f>(P2*P14)+(Q2*Q14)+(R2*R14)+(S2*S14)+(T2*T14)+(U2*U14)+(V2*V14)+(W2*W14)+(X2*X14)+(Y2*Y14)+(Z2*Z14)+(AA2*AA14)+(AB2*AB14)+(AC2*AC14)+(AD2*AD14)+(AE2*AE14)+(AF2*AF14)+(AG2*AG14)+(AH2*AH14)+(AI2*AI14)+(AJ2*AJ14)+(AK2*AK14)+(AL2*AL14)+(AM2*AM14)+(AN2*AN14)+(AO2*AO14)+(AP2*AP14)+(AQ2*AQ14)+(AR2*AR14)+(AS2*AS14)+(AT2*AT14)+(AU2*AU14)+(AV2*AV14)+(AW2*AW14)+(AX2*AX14)+(AY2*AY14)+(AZ2*AZ14)+(BA2*BA14)+(BB2*BB14)+(BC2*BC14)+(BD2*BD14)+(BE2*BE14)+(BF2*BF14)+(BG2*BG14)+(BH2*BH14)+(BI2*BI14)+(BJ2*BJ14)+(BK2*BK14)+(BL2*BL14)+(BM2*BM14)+(BN2*BN14)+(BO2*BO14)+(BP2*BP14)+(BQ2*BQ14)+(BR2*BR14)+(BS2*BS14)+(BT2*BT14)+(BU2*BU14)+(BV2*BV14)+(BW2*BW14)+(BX2*BX14)+(BY2*BY14)+(BZ2*BZ14)+(CA2*CA14)+(CB2*CB14)+(CC2*CC14)+(CD2*CD14)</f>
        <v/>
      </c>
      <c r="L14" s="0">
        <f>K14-(K14*J14/100)</f>
        <v/>
      </c>
      <c r="M14" s="0">
        <f>ROUND(L14/1.11, 2)</f>
        <v/>
      </c>
      <c r="N14" s="0">
        <f>SUM(P14:CD14)</f>
        <v/>
      </c>
      <c r="O14" s="0">
        <f>COUNTIF(P14:CD14,"&gt;0")</f>
        <v/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</row>
    <row r="15" spans="1:82">
      <c r="A15" s="0">
        <v>13</v>
      </c>
      <c r="B15" s="0" t="inlineStr">
        <is>
          <t>2026-07-04</t>
        </is>
      </c>
      <c r="C15" s="0" t="inlineStr">
        <is>
          <t>71306761</t>
        </is>
      </c>
      <c r="D15" s="0" t="inlineStr">
        <is>
          <t>SMTR-01</t>
        </is>
      </c>
      <c r="E15" s="0" t="inlineStr">
        <is>
          <t>(1881579074)kantin RS Husada</t>
        </is>
      </c>
      <c r="F15" s="0" t="inlineStr">
        <is>
          <t>RUMAH SAKIT</t>
        </is>
      </c>
      <c r="G15" s="0" t="inlineStr">
        <is>
          <t>LAYANAN KESEHATAN</t>
        </is>
      </c>
      <c r="H15" s="0" t="inlineStr">
        <is>
          <t>Consignment</t>
        </is>
      </c>
      <c r="J15" s="0">
        <v>10</v>
      </c>
      <c r="K15" s="0">
        <f>(P2*P15)+(Q2*Q15)+(R2*R15)+(S2*S15)+(T2*T15)+(U2*U15)+(V2*V15)+(W2*W15)+(X2*X15)+(Y2*Y15)+(Z2*Z15)+(AA2*AA15)+(AB2*AB15)+(AC2*AC15)+(AD2*AD15)+(AE2*AE15)+(AF2*AF15)+(AG2*AG15)+(AH2*AH15)+(AI2*AI15)+(AJ2*AJ15)+(AK2*AK15)+(AL2*AL15)+(AM2*AM15)+(AN2*AN15)+(AO2*AO15)+(AP2*AP15)+(AQ2*AQ15)+(AR2*AR15)+(AS2*AS15)+(AT2*AT15)+(AU2*AU15)+(AV2*AV15)+(AW2*AW15)+(AX2*AX15)+(AY2*AY15)+(AZ2*AZ15)+(BA2*BA15)+(BB2*BB15)+(BC2*BC15)+(BD2*BD15)+(BE2*BE15)+(BF2*BF15)+(BG2*BG15)+(BH2*BH15)+(BI2*BI15)+(BJ2*BJ15)+(BK2*BK15)+(BL2*BL15)+(BM2*BM15)+(BN2*BN15)+(BO2*BO15)+(BP2*BP15)+(BQ2*BQ15)+(BR2*BR15)+(BS2*BS15)+(BT2*BT15)+(BU2*BU15)+(BV2*BV15)+(BW2*BW15)+(BX2*BX15)+(BY2*BY15)+(BZ2*BZ15)+(CA2*CA15)+(CB2*CB15)+(CC2*CC15)+(CD2*CD15)</f>
        <v/>
      </c>
      <c r="L15" s="0">
        <f>K15-(K15*J15/100)</f>
        <v/>
      </c>
      <c r="M15" s="0">
        <f>ROUND(L15/1.11, 2)</f>
        <v/>
      </c>
      <c r="N15" s="0">
        <f>SUM(P15:CD15)</f>
        <v/>
      </c>
      <c r="O15" s="0">
        <f>COUNTIF(P15:CD15,"&gt;0")</f>
        <v/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</row>
    <row r="16" spans="1:82">
      <c r="A16" s="0">
        <v>14</v>
      </c>
      <c r="B16" s="0" t="inlineStr">
        <is>
          <t>2026-07-04</t>
        </is>
      </c>
      <c r="C16" s="0" t="inlineStr">
        <is>
          <t>71306761</t>
        </is>
      </c>
      <c r="D16" s="0" t="inlineStr">
        <is>
          <t>SMTR-01</t>
        </is>
      </c>
      <c r="E16" s="0" t="inlineStr">
        <is>
          <t>(1881579637)KANTIN BU ELI</t>
        </is>
      </c>
      <c r="F16" s="0" t="inlineStr">
        <is>
          <t>WARUNG NOO</t>
        </is>
      </c>
      <c r="G16" s="0" t="inlineStr">
        <is>
          <t>WARUNG NOO</t>
        </is>
      </c>
      <c r="H16" s="0" t="inlineStr">
        <is>
          <t>Consignment</t>
        </is>
      </c>
      <c r="J16" s="0">
        <v>10</v>
      </c>
      <c r="K16" s="0">
        <f>(P2*P16)+(Q2*Q16)+(R2*R16)+(S2*S16)+(T2*T16)+(U2*U16)+(V2*V16)+(W2*W16)+(X2*X16)+(Y2*Y16)+(Z2*Z16)+(AA2*AA16)+(AB2*AB16)+(AC2*AC16)+(AD2*AD16)+(AE2*AE16)+(AF2*AF16)+(AG2*AG16)+(AH2*AH16)+(AI2*AI16)+(AJ2*AJ16)+(AK2*AK16)+(AL2*AL16)+(AM2*AM16)+(AN2*AN16)+(AO2*AO16)+(AP2*AP16)+(AQ2*AQ16)+(AR2*AR16)+(AS2*AS16)+(AT2*AT16)+(AU2*AU16)+(AV2*AV16)+(AW2*AW16)+(AX2*AX16)+(AY2*AY16)+(AZ2*AZ16)+(BA2*BA16)+(BB2*BB16)+(BC2*BC16)+(BD2*BD16)+(BE2*BE16)+(BF2*BF16)+(BG2*BG16)+(BH2*BH16)+(BI2*BI16)+(BJ2*BJ16)+(BK2*BK16)+(BL2*BL16)+(BM2*BM16)+(BN2*BN16)+(BO2*BO16)+(BP2*BP16)+(BQ2*BQ16)+(BR2*BR16)+(BS2*BS16)+(BT2*BT16)+(BU2*BU16)+(BV2*BV16)+(BW2*BW16)+(BX2*BX16)+(BY2*BY16)+(BZ2*BZ16)+(CA2*CA16)+(CB2*CB16)+(CC2*CC16)+(CD2*CD16)</f>
        <v/>
      </c>
      <c r="L16" s="0">
        <f>K16-(K16*J16/100)</f>
        <v/>
      </c>
      <c r="M16" s="0">
        <f>ROUND(L16/1.11, 2)</f>
        <v/>
      </c>
      <c r="N16" s="0">
        <f>SUM(P16:CD16)</f>
        <v/>
      </c>
      <c r="O16" s="0">
        <f>COUNTIF(P16:CD16,"&gt;0")</f>
        <v/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</row>
    <row r="17" spans="1:82">
      <c r="A17" s="0">
        <v>15</v>
      </c>
      <c r="B17" s="0" t="inlineStr">
        <is>
          <t>2026-07-04</t>
        </is>
      </c>
      <c r="C17" s="0" t="inlineStr">
        <is>
          <t>71306761</t>
        </is>
      </c>
      <c r="D17" s="0" t="inlineStr">
        <is>
          <t>SMTR-01</t>
        </is>
      </c>
      <c r="E17" s="0" t="inlineStr">
        <is>
          <t>(1881579647)WARKOP JAMAL</t>
        </is>
      </c>
      <c r="F17" s="0" t="inlineStr">
        <is>
          <t>WARUNG NOO</t>
        </is>
      </c>
      <c r="G17" s="0" t="inlineStr">
        <is>
          <t>WARUNG NOO</t>
        </is>
      </c>
      <c r="H17" s="0" t="inlineStr">
        <is>
          <t>Consignment</t>
        </is>
      </c>
      <c r="J17" s="0">
        <v>10</v>
      </c>
      <c r="K17" s="0">
        <f>(P2*P17)+(Q2*Q17)+(R2*R17)+(S2*S17)+(T2*T17)+(U2*U17)+(V2*V17)+(W2*W17)+(X2*X17)+(Y2*Y17)+(Z2*Z17)+(AA2*AA17)+(AB2*AB17)+(AC2*AC17)+(AD2*AD17)+(AE2*AE17)+(AF2*AF17)+(AG2*AG17)+(AH2*AH17)+(AI2*AI17)+(AJ2*AJ17)+(AK2*AK17)+(AL2*AL17)+(AM2*AM17)+(AN2*AN17)+(AO2*AO17)+(AP2*AP17)+(AQ2*AQ17)+(AR2*AR17)+(AS2*AS17)+(AT2*AT17)+(AU2*AU17)+(AV2*AV17)+(AW2*AW17)+(AX2*AX17)+(AY2*AY17)+(AZ2*AZ17)+(BA2*BA17)+(BB2*BB17)+(BC2*BC17)+(BD2*BD17)+(BE2*BE17)+(BF2*BF17)+(BG2*BG17)+(BH2*BH17)+(BI2*BI17)+(BJ2*BJ17)+(BK2*BK17)+(BL2*BL17)+(BM2*BM17)+(BN2*BN17)+(BO2*BO17)+(BP2*BP17)+(BQ2*BQ17)+(BR2*BR17)+(BS2*BS17)+(BT2*BT17)+(BU2*BU17)+(BV2*BV17)+(BW2*BW17)+(BX2*BX17)+(BY2*BY17)+(BZ2*BZ17)+(CA2*CA17)+(CB2*CB17)+(CC2*CC17)+(CD2*CD17)</f>
        <v/>
      </c>
      <c r="L17" s="0">
        <f>K17-(K17*J17/100)</f>
        <v/>
      </c>
      <c r="M17" s="0">
        <f>ROUND(L17/1.11, 2)</f>
        <v/>
      </c>
      <c r="N17" s="0">
        <f>SUM(P17:CD17)</f>
        <v/>
      </c>
      <c r="O17" s="0">
        <f>COUNTIF(P17:CD17,"&gt;0")</f>
        <v/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</row>
    <row r="18" spans="1:82">
      <c r="A18" s="0">
        <v>16</v>
      </c>
      <c r="B18" s="0" t="inlineStr">
        <is>
          <t>2026-07-04</t>
        </is>
      </c>
      <c r="C18" s="0" t="inlineStr">
        <is>
          <t>71306761</t>
        </is>
      </c>
      <c r="D18" s="0" t="inlineStr">
        <is>
          <t>SMTR-01</t>
        </is>
      </c>
      <c r="E18" s="0" t="inlineStr">
        <is>
          <t>(1881579659)TOKO SAIT</t>
        </is>
      </c>
      <c r="F18" s="0" t="inlineStr">
        <is>
          <t>WARUNG NOO</t>
        </is>
      </c>
      <c r="G18" s="0" t="inlineStr">
        <is>
          <t>WARUNG NOO</t>
        </is>
      </c>
      <c r="H18" s="0" t="inlineStr">
        <is>
          <t>Consignment</t>
        </is>
      </c>
      <c r="J18" s="0">
        <v>10</v>
      </c>
      <c r="K18" s="0">
        <f>(P2*P18)+(Q2*Q18)+(R2*R18)+(S2*S18)+(T2*T18)+(U2*U18)+(V2*V18)+(W2*W18)+(X2*X18)+(Y2*Y18)+(Z2*Z18)+(AA2*AA18)+(AB2*AB18)+(AC2*AC18)+(AD2*AD18)+(AE2*AE18)+(AF2*AF18)+(AG2*AG18)+(AH2*AH18)+(AI2*AI18)+(AJ2*AJ18)+(AK2*AK18)+(AL2*AL18)+(AM2*AM18)+(AN2*AN18)+(AO2*AO18)+(AP2*AP18)+(AQ2*AQ18)+(AR2*AR18)+(AS2*AS18)+(AT2*AT18)+(AU2*AU18)+(AV2*AV18)+(AW2*AW18)+(AX2*AX18)+(AY2*AY18)+(AZ2*AZ18)+(BA2*BA18)+(BB2*BB18)+(BC2*BC18)+(BD2*BD18)+(BE2*BE18)+(BF2*BF18)+(BG2*BG18)+(BH2*BH18)+(BI2*BI18)+(BJ2*BJ18)+(BK2*BK18)+(BL2*BL18)+(BM2*BM18)+(BN2*BN18)+(BO2*BO18)+(BP2*BP18)+(BQ2*BQ18)+(BR2*BR18)+(BS2*BS18)+(BT2*BT18)+(BU2*BU18)+(BV2*BV18)+(BW2*BW18)+(BX2*BX18)+(BY2*BY18)+(BZ2*BZ18)+(CA2*CA18)+(CB2*CB18)+(CC2*CC18)+(CD2*CD18)</f>
        <v/>
      </c>
      <c r="L18" s="0">
        <f>K18-(K18*J18/100)</f>
        <v/>
      </c>
      <c r="M18" s="0">
        <f>ROUND(L18/1.11, 2)</f>
        <v/>
      </c>
      <c r="N18" s="0">
        <f>SUM(P18:CD18)</f>
        <v/>
      </c>
      <c r="O18" s="0">
        <f>COUNTIF(P18:CD18,"&gt;0")</f>
        <v/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</row>
    <row r="19" spans="1:82">
      <c r="A19" s="0">
        <v>17</v>
      </c>
      <c r="B19" s="0" t="inlineStr">
        <is>
          <t>2026-07-04</t>
        </is>
      </c>
      <c r="C19" s="0" t="inlineStr">
        <is>
          <t>71306761</t>
        </is>
      </c>
      <c r="D19" s="0" t="inlineStr">
        <is>
          <t>SMTR-01</t>
        </is>
      </c>
      <c r="E19" s="0" t="inlineStr">
        <is>
          <t>(1881581001)TOKO ALIKA</t>
        </is>
      </c>
      <c r="F19" s="0" t="inlineStr">
        <is>
          <t>WARUNG NOO</t>
        </is>
      </c>
      <c r="G19" s="0" t="inlineStr">
        <is>
          <t>WARUNG NOO</t>
        </is>
      </c>
      <c r="H19" s="0" t="inlineStr">
        <is>
          <t>Consignment</t>
        </is>
      </c>
      <c r="J19" s="0">
        <v>10</v>
      </c>
      <c r="K19" s="0">
        <f>(P2*P19)+(Q2*Q19)+(R2*R19)+(S2*S19)+(T2*T19)+(U2*U19)+(V2*V19)+(W2*W19)+(X2*X19)+(Y2*Y19)+(Z2*Z19)+(AA2*AA19)+(AB2*AB19)+(AC2*AC19)+(AD2*AD19)+(AE2*AE19)+(AF2*AF19)+(AG2*AG19)+(AH2*AH19)+(AI2*AI19)+(AJ2*AJ19)+(AK2*AK19)+(AL2*AL19)+(AM2*AM19)+(AN2*AN19)+(AO2*AO19)+(AP2*AP19)+(AQ2*AQ19)+(AR2*AR19)+(AS2*AS19)+(AT2*AT19)+(AU2*AU19)+(AV2*AV19)+(AW2*AW19)+(AX2*AX19)+(AY2*AY19)+(AZ2*AZ19)+(BA2*BA19)+(BB2*BB19)+(BC2*BC19)+(BD2*BD19)+(BE2*BE19)+(BF2*BF19)+(BG2*BG19)+(BH2*BH19)+(BI2*BI19)+(BJ2*BJ19)+(BK2*BK19)+(BL2*BL19)+(BM2*BM19)+(BN2*BN19)+(BO2*BO19)+(BP2*BP19)+(BQ2*BQ19)+(BR2*BR19)+(BS2*BS19)+(BT2*BT19)+(BU2*BU19)+(BV2*BV19)+(BW2*BW19)+(BX2*BX19)+(BY2*BY19)+(BZ2*BZ19)+(CA2*CA19)+(CB2*CB19)+(CC2*CC19)+(CD2*CD19)</f>
        <v/>
      </c>
      <c r="L19" s="0">
        <f>K19-(K19*J19/100)</f>
        <v/>
      </c>
      <c r="M19" s="0">
        <f>ROUND(L19/1.11, 2)</f>
        <v/>
      </c>
      <c r="N19" s="0">
        <f>SUM(P19:CD19)</f>
        <v/>
      </c>
      <c r="O19" s="0">
        <f>COUNTIF(P19:CD19,"&gt;0")</f>
        <v/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</row>
    <row r="20" spans="1:82">
      <c r="A20" s="0">
        <v>18</v>
      </c>
      <c r="B20" s="0" t="inlineStr">
        <is>
          <t>2026-07-04</t>
        </is>
      </c>
      <c r="C20" s="0" t="inlineStr">
        <is>
          <t>71306761</t>
        </is>
      </c>
      <c r="D20" s="0" t="inlineStr">
        <is>
          <t>SMTR-01</t>
        </is>
      </c>
      <c r="E20" s="0" t="inlineStr">
        <is>
          <t>(1881581526)TOKO WIDODO</t>
        </is>
      </c>
      <c r="F20" s="0" t="inlineStr">
        <is>
          <t>WARUNG NOO</t>
        </is>
      </c>
      <c r="G20" s="0" t="inlineStr">
        <is>
          <t>WARUNG NOO</t>
        </is>
      </c>
      <c r="H20" s="0" t="inlineStr">
        <is>
          <t>Consignment</t>
        </is>
      </c>
      <c r="J20" s="0">
        <v>10</v>
      </c>
      <c r="K20" s="0">
        <f>(P2*P20)+(Q2*Q20)+(R2*R20)+(S2*S20)+(T2*T20)+(U2*U20)+(V2*V20)+(W2*W20)+(X2*X20)+(Y2*Y20)+(Z2*Z20)+(AA2*AA20)+(AB2*AB20)+(AC2*AC20)+(AD2*AD20)+(AE2*AE20)+(AF2*AF20)+(AG2*AG20)+(AH2*AH20)+(AI2*AI20)+(AJ2*AJ20)+(AK2*AK20)+(AL2*AL20)+(AM2*AM20)+(AN2*AN20)+(AO2*AO20)+(AP2*AP20)+(AQ2*AQ20)+(AR2*AR20)+(AS2*AS20)+(AT2*AT20)+(AU2*AU20)+(AV2*AV20)+(AW2*AW20)+(AX2*AX20)+(AY2*AY20)+(AZ2*AZ20)+(BA2*BA20)+(BB2*BB20)+(BC2*BC20)+(BD2*BD20)+(BE2*BE20)+(BF2*BF20)+(BG2*BG20)+(BH2*BH20)+(BI2*BI20)+(BJ2*BJ20)+(BK2*BK20)+(BL2*BL20)+(BM2*BM20)+(BN2*BN20)+(BO2*BO20)+(BP2*BP20)+(BQ2*BQ20)+(BR2*BR20)+(BS2*BS20)+(BT2*BT20)+(BU2*BU20)+(BV2*BV20)+(BW2*BW20)+(BX2*BX20)+(BY2*BY20)+(BZ2*BZ20)+(CA2*CA20)+(CB2*CB20)+(CC2*CC20)+(CD2*CD20)</f>
        <v/>
      </c>
      <c r="L20" s="0">
        <f>K20-(K20*J20/100)</f>
        <v/>
      </c>
      <c r="M20" s="0">
        <f>ROUND(L20/1.11, 2)</f>
        <v/>
      </c>
      <c r="N20" s="0">
        <f>SUM(P20:CD20)</f>
        <v/>
      </c>
      <c r="O20" s="0">
        <f>COUNTIF(P20:CD20,"&gt;0")</f>
        <v/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</row>
    <row r="21" spans="1:82">
      <c r="A21" s="0">
        <v>19</v>
      </c>
      <c r="B21" s="0" t="inlineStr">
        <is>
          <t>2026-07-04</t>
        </is>
      </c>
      <c r="C21" s="0" t="inlineStr">
        <is>
          <t>71306761</t>
        </is>
      </c>
      <c r="D21" s="0" t="inlineStr">
        <is>
          <t>SMTR-01</t>
        </is>
      </c>
      <c r="E21" s="0" t="inlineStr">
        <is>
          <t>(1881582966)TOKO ARDIANSYAH</t>
        </is>
      </c>
      <c r="F21" s="0" t="inlineStr">
        <is>
          <t>WARUNG NOO</t>
        </is>
      </c>
      <c r="G21" s="0" t="inlineStr">
        <is>
          <t>WARUNG NOO</t>
        </is>
      </c>
      <c r="H21" s="0" t="inlineStr">
        <is>
          <t>Consignment</t>
        </is>
      </c>
      <c r="J21" s="0">
        <v>10</v>
      </c>
      <c r="K21" s="0">
        <f>(P2*P21)+(Q2*Q21)+(R2*R21)+(S2*S21)+(T2*T21)+(U2*U21)+(V2*V21)+(W2*W21)+(X2*X21)+(Y2*Y21)+(Z2*Z21)+(AA2*AA21)+(AB2*AB21)+(AC2*AC21)+(AD2*AD21)+(AE2*AE21)+(AF2*AF21)+(AG2*AG21)+(AH2*AH21)+(AI2*AI21)+(AJ2*AJ21)+(AK2*AK21)+(AL2*AL21)+(AM2*AM21)+(AN2*AN21)+(AO2*AO21)+(AP2*AP21)+(AQ2*AQ21)+(AR2*AR21)+(AS2*AS21)+(AT2*AT21)+(AU2*AU21)+(AV2*AV21)+(AW2*AW21)+(AX2*AX21)+(AY2*AY21)+(AZ2*AZ21)+(BA2*BA21)+(BB2*BB21)+(BC2*BC21)+(BD2*BD21)+(BE2*BE21)+(BF2*BF21)+(BG2*BG21)+(BH2*BH21)+(BI2*BI21)+(BJ2*BJ21)+(BK2*BK21)+(BL2*BL21)+(BM2*BM21)+(BN2*BN21)+(BO2*BO21)+(BP2*BP21)+(BQ2*BQ21)+(BR2*BR21)+(BS2*BS21)+(BT2*BT21)+(BU2*BU21)+(BV2*BV21)+(BW2*BW21)+(BX2*BX21)+(BY2*BY21)+(BZ2*BZ21)+(CA2*CA21)+(CB2*CB21)+(CC2*CC21)+(CD2*CD21)</f>
        <v/>
      </c>
      <c r="L21" s="0">
        <f>K21-(K21*J21/100)</f>
        <v/>
      </c>
      <c r="M21" s="0">
        <f>ROUND(L21/1.11, 2)</f>
        <v/>
      </c>
      <c r="N21" s="0">
        <f>SUM(P21:CD21)</f>
        <v/>
      </c>
      <c r="O21" s="0">
        <f>COUNTIF(P21:CD21,"&gt;0")</f>
        <v/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</row>
    <row r="22" spans="1:82">
      <c r="A22" s="0">
        <v>20</v>
      </c>
      <c r="B22" s="0" t="inlineStr">
        <is>
          <t>2026-07-04</t>
        </is>
      </c>
      <c r="C22" s="0" t="inlineStr">
        <is>
          <t>71306761</t>
        </is>
      </c>
      <c r="D22" s="0" t="inlineStr">
        <is>
          <t>SMTR-01</t>
        </is>
      </c>
      <c r="E22" s="0" t="inlineStr">
        <is>
          <t>(1881589033)PIONA TOKO</t>
        </is>
      </c>
      <c r="F22" s="0" t="inlineStr">
        <is>
          <t>WARUNG NOO</t>
        </is>
      </c>
      <c r="G22" s="0" t="inlineStr">
        <is>
          <t>WARUNG NOO</t>
        </is>
      </c>
      <c r="H22" s="0" t="inlineStr">
        <is>
          <t>Consignment</t>
        </is>
      </c>
      <c r="J22" s="0">
        <v>10</v>
      </c>
      <c r="K22" s="0">
        <f>(P2*P22)+(Q2*Q22)+(R2*R22)+(S2*S22)+(T2*T22)+(U2*U22)+(V2*V22)+(W2*W22)+(X2*X22)+(Y2*Y22)+(Z2*Z22)+(AA2*AA22)+(AB2*AB22)+(AC2*AC22)+(AD2*AD22)+(AE2*AE22)+(AF2*AF22)+(AG2*AG22)+(AH2*AH22)+(AI2*AI22)+(AJ2*AJ22)+(AK2*AK22)+(AL2*AL22)+(AM2*AM22)+(AN2*AN22)+(AO2*AO22)+(AP2*AP22)+(AQ2*AQ22)+(AR2*AR22)+(AS2*AS22)+(AT2*AT22)+(AU2*AU22)+(AV2*AV22)+(AW2*AW22)+(AX2*AX22)+(AY2*AY22)+(AZ2*AZ22)+(BA2*BA22)+(BB2*BB22)+(BC2*BC22)+(BD2*BD22)+(BE2*BE22)+(BF2*BF22)+(BG2*BG22)+(BH2*BH22)+(BI2*BI22)+(BJ2*BJ22)+(BK2*BK22)+(BL2*BL22)+(BM2*BM22)+(BN2*BN22)+(BO2*BO22)+(BP2*BP22)+(BQ2*BQ22)+(BR2*BR22)+(BS2*BS22)+(BT2*BT22)+(BU2*BU22)+(BV2*BV22)+(BW2*BW22)+(BX2*BX22)+(BY2*BY22)+(BZ2*BZ22)+(CA2*CA22)+(CB2*CB22)+(CC2*CC22)+(CD2*CD22)</f>
        <v/>
      </c>
      <c r="L22" s="0">
        <f>K22-(K22*J22/100)</f>
        <v/>
      </c>
      <c r="M22" s="0">
        <f>ROUND(L22/1.11, 2)</f>
        <v/>
      </c>
      <c r="N22" s="0">
        <f>SUM(P22:CD22)</f>
        <v/>
      </c>
      <c r="O22" s="0">
        <f>COUNTIF(P22:CD22,"&gt;0")</f>
        <v/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</row>
    <row r="23" spans="1:82">
      <c r="A23" s="0">
        <v>21</v>
      </c>
      <c r="B23" s="0" t="inlineStr">
        <is>
          <t>2026-07-04</t>
        </is>
      </c>
      <c r="C23" s="0" t="inlineStr">
        <is>
          <t>71306762</t>
        </is>
      </c>
      <c r="D23" s="0" t="inlineStr">
        <is>
          <t>SMTR_02</t>
        </is>
      </c>
      <c r="E23" s="0" t="inlineStr">
        <is>
          <t>(1881578437)OSIEN TOKO</t>
        </is>
      </c>
      <c r="F23" s="0" t="inlineStr">
        <is>
          <t>WARUNG NOO</t>
        </is>
      </c>
      <c r="G23" s="0" t="inlineStr">
        <is>
          <t>WARUNG NOO</t>
        </is>
      </c>
      <c r="H23" s="0" t="inlineStr">
        <is>
          <t>Consignment</t>
        </is>
      </c>
      <c r="J23" s="0">
        <v>10</v>
      </c>
      <c r="K23" s="0">
        <f>(P2*P23)+(Q2*Q23)+(R2*R23)+(S2*S23)+(T2*T23)+(U2*U23)+(V2*V23)+(W2*W23)+(X2*X23)+(Y2*Y23)+(Z2*Z23)+(AA2*AA23)+(AB2*AB23)+(AC2*AC23)+(AD2*AD23)+(AE2*AE23)+(AF2*AF23)+(AG2*AG23)+(AH2*AH23)+(AI2*AI23)+(AJ2*AJ23)+(AK2*AK23)+(AL2*AL23)+(AM2*AM23)+(AN2*AN23)+(AO2*AO23)+(AP2*AP23)+(AQ2*AQ23)+(AR2*AR23)+(AS2*AS23)+(AT2*AT23)+(AU2*AU23)+(AV2*AV23)+(AW2*AW23)+(AX2*AX23)+(AY2*AY23)+(AZ2*AZ23)+(BA2*BA23)+(BB2*BB23)+(BC2*BC23)+(BD2*BD23)+(BE2*BE23)+(BF2*BF23)+(BG2*BG23)+(BH2*BH23)+(BI2*BI23)+(BJ2*BJ23)+(BK2*BK23)+(BL2*BL23)+(BM2*BM23)+(BN2*BN23)+(BO2*BO23)+(BP2*BP23)+(BQ2*BQ23)+(BR2*BR23)+(BS2*BS23)+(BT2*BT23)+(BU2*BU23)+(BV2*BV23)+(BW2*BW23)+(BX2*BX23)+(BY2*BY23)+(BZ2*BZ23)+(CA2*CA23)+(CB2*CB23)+(CC2*CC23)+(CD2*CD23)</f>
        <v/>
      </c>
      <c r="L23" s="0">
        <f>K23-(K23*J23/100)</f>
        <v/>
      </c>
      <c r="M23" s="0">
        <f>ROUND(L23/1.11, 2)</f>
        <v/>
      </c>
      <c r="N23" s="0">
        <f>SUM(P23:CD23)</f>
        <v/>
      </c>
      <c r="O23" s="0">
        <f>COUNTIF(P23:CD23,"&gt;0")</f>
        <v/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</row>
    <row r="24" spans="1:82">
      <c r="A24" s="0">
        <v>22</v>
      </c>
      <c r="B24" s="0" t="inlineStr">
        <is>
          <t>2026-07-04</t>
        </is>
      </c>
      <c r="C24" s="0" t="inlineStr">
        <is>
          <t>71306762</t>
        </is>
      </c>
      <c r="D24" s="0" t="inlineStr">
        <is>
          <t>SMTR_02</t>
        </is>
      </c>
      <c r="E24" s="0" t="inlineStr">
        <is>
          <t>(1881578438)SRC 99 TOKO</t>
        </is>
      </c>
      <c r="F24" s="0" t="inlineStr">
        <is>
          <t>WARUNG NOO</t>
        </is>
      </c>
      <c r="G24" s="0" t="inlineStr">
        <is>
          <t>WARUNG NOO</t>
        </is>
      </c>
      <c r="H24" s="0" t="inlineStr">
        <is>
          <t>Consignment</t>
        </is>
      </c>
      <c r="J24" s="0">
        <v>10</v>
      </c>
      <c r="K24" s="0">
        <f>(P2*P24)+(Q2*Q24)+(R2*R24)+(S2*S24)+(T2*T24)+(U2*U24)+(V2*V24)+(W2*W24)+(X2*X24)+(Y2*Y24)+(Z2*Z24)+(AA2*AA24)+(AB2*AB24)+(AC2*AC24)+(AD2*AD24)+(AE2*AE24)+(AF2*AF24)+(AG2*AG24)+(AH2*AH24)+(AI2*AI24)+(AJ2*AJ24)+(AK2*AK24)+(AL2*AL24)+(AM2*AM24)+(AN2*AN24)+(AO2*AO24)+(AP2*AP24)+(AQ2*AQ24)+(AR2*AR24)+(AS2*AS24)+(AT2*AT24)+(AU2*AU24)+(AV2*AV24)+(AW2*AW24)+(AX2*AX24)+(AY2*AY24)+(AZ2*AZ24)+(BA2*BA24)+(BB2*BB24)+(BC2*BC24)+(BD2*BD24)+(BE2*BE24)+(BF2*BF24)+(BG2*BG24)+(BH2*BH24)+(BI2*BI24)+(BJ2*BJ24)+(BK2*BK24)+(BL2*BL24)+(BM2*BM24)+(BN2*BN24)+(BO2*BO24)+(BP2*BP24)+(BQ2*BQ24)+(BR2*BR24)+(BS2*BS24)+(BT2*BT24)+(BU2*BU24)+(BV2*BV24)+(BW2*BW24)+(BX2*BX24)+(BY2*BY24)+(BZ2*BZ24)+(CA2*CA24)+(CB2*CB24)+(CC2*CC24)+(CD2*CD24)</f>
        <v/>
      </c>
      <c r="L24" s="0">
        <f>K24-(K24*J24/100)</f>
        <v/>
      </c>
      <c r="M24" s="0">
        <f>ROUND(L24/1.11, 2)</f>
        <v/>
      </c>
      <c r="N24" s="0">
        <f>SUM(P24:CD24)</f>
        <v/>
      </c>
      <c r="O24" s="0">
        <f>COUNTIF(P24:CD24,"&gt;0")</f>
        <v/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</row>
    <row r="25" spans="1:82">
      <c r="A25" s="0">
        <v>23</v>
      </c>
      <c r="B25" s="0" t="inlineStr">
        <is>
          <t>2026-07-04</t>
        </is>
      </c>
      <c r="C25" s="0" t="inlineStr">
        <is>
          <t>71306762</t>
        </is>
      </c>
      <c r="D25" s="0" t="inlineStr">
        <is>
          <t>SMTR_02</t>
        </is>
      </c>
      <c r="E25" s="0" t="inlineStr">
        <is>
          <t>(1881578439)TOMMY TOKO</t>
        </is>
      </c>
      <c r="F25" s="0" t="inlineStr">
        <is>
          <t>WARUNG NOO</t>
        </is>
      </c>
      <c r="G25" s="0" t="inlineStr">
        <is>
          <t>WARUNG NOO</t>
        </is>
      </c>
      <c r="H25" s="0" t="inlineStr">
        <is>
          <t>Consignment</t>
        </is>
      </c>
      <c r="J25" s="0">
        <v>10</v>
      </c>
      <c r="K25" s="0">
        <f>(P2*P25)+(Q2*Q25)+(R2*R25)+(S2*S25)+(T2*T25)+(U2*U25)+(V2*V25)+(W2*W25)+(X2*X25)+(Y2*Y25)+(Z2*Z25)+(AA2*AA25)+(AB2*AB25)+(AC2*AC25)+(AD2*AD25)+(AE2*AE25)+(AF2*AF25)+(AG2*AG25)+(AH2*AH25)+(AI2*AI25)+(AJ2*AJ25)+(AK2*AK25)+(AL2*AL25)+(AM2*AM25)+(AN2*AN25)+(AO2*AO25)+(AP2*AP25)+(AQ2*AQ25)+(AR2*AR25)+(AS2*AS25)+(AT2*AT25)+(AU2*AU25)+(AV2*AV25)+(AW2*AW25)+(AX2*AX25)+(AY2*AY25)+(AZ2*AZ25)+(BA2*BA25)+(BB2*BB25)+(BC2*BC25)+(BD2*BD25)+(BE2*BE25)+(BF2*BF25)+(BG2*BG25)+(BH2*BH25)+(BI2*BI25)+(BJ2*BJ25)+(BK2*BK25)+(BL2*BL25)+(BM2*BM25)+(BN2*BN25)+(BO2*BO25)+(BP2*BP25)+(BQ2*BQ25)+(BR2*BR25)+(BS2*BS25)+(BT2*BT25)+(BU2*BU25)+(BV2*BV25)+(BW2*BW25)+(BX2*BX25)+(BY2*BY25)+(BZ2*BZ25)+(CA2*CA25)+(CB2*CB25)+(CC2*CC25)+(CD2*CD25)</f>
        <v/>
      </c>
      <c r="L25" s="0">
        <f>K25-(K25*J25/100)</f>
        <v/>
      </c>
      <c r="M25" s="0">
        <f>ROUND(L25/1.11, 2)</f>
        <v/>
      </c>
      <c r="N25" s="0">
        <f>SUM(P25:CD25)</f>
        <v/>
      </c>
      <c r="O25" s="0">
        <f>COUNTIF(P25:CD25,"&gt;0")</f>
        <v/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</row>
    <row r="26" spans="1:82">
      <c r="A26" s="0">
        <v>24</v>
      </c>
      <c r="B26" s="0" t="inlineStr">
        <is>
          <t>2026-07-04</t>
        </is>
      </c>
      <c r="C26" s="0" t="inlineStr">
        <is>
          <t>71306762</t>
        </is>
      </c>
      <c r="D26" s="0" t="inlineStr">
        <is>
          <t>SMTR_02</t>
        </is>
      </c>
      <c r="E26" s="0" t="inlineStr">
        <is>
          <t>(1881578440)TOKO IBRENA</t>
        </is>
      </c>
      <c r="F26" s="0" t="inlineStr">
        <is>
          <t>WARUNG NOO</t>
        </is>
      </c>
      <c r="G26" s="0" t="inlineStr">
        <is>
          <t>WARUNG NOO</t>
        </is>
      </c>
      <c r="H26" s="0" t="inlineStr">
        <is>
          <t>Consignment</t>
        </is>
      </c>
      <c r="J26" s="0">
        <v>10</v>
      </c>
      <c r="K26" s="0">
        <f>(P2*P26)+(Q2*Q26)+(R2*R26)+(S2*S26)+(T2*T26)+(U2*U26)+(V2*V26)+(W2*W26)+(X2*X26)+(Y2*Y26)+(Z2*Z26)+(AA2*AA26)+(AB2*AB26)+(AC2*AC26)+(AD2*AD26)+(AE2*AE26)+(AF2*AF26)+(AG2*AG26)+(AH2*AH26)+(AI2*AI26)+(AJ2*AJ26)+(AK2*AK26)+(AL2*AL26)+(AM2*AM26)+(AN2*AN26)+(AO2*AO26)+(AP2*AP26)+(AQ2*AQ26)+(AR2*AR26)+(AS2*AS26)+(AT2*AT26)+(AU2*AU26)+(AV2*AV26)+(AW2*AW26)+(AX2*AX26)+(AY2*AY26)+(AZ2*AZ26)+(BA2*BA26)+(BB2*BB26)+(BC2*BC26)+(BD2*BD26)+(BE2*BE26)+(BF2*BF26)+(BG2*BG26)+(BH2*BH26)+(BI2*BI26)+(BJ2*BJ26)+(BK2*BK26)+(BL2*BL26)+(BM2*BM26)+(BN2*BN26)+(BO2*BO26)+(BP2*BP26)+(BQ2*BQ26)+(BR2*BR26)+(BS2*BS26)+(BT2*BT26)+(BU2*BU26)+(BV2*BV26)+(BW2*BW26)+(BX2*BX26)+(BY2*BY26)+(BZ2*BZ26)+(CA2*CA26)+(CB2*CB26)+(CC2*CC26)+(CD2*CD26)</f>
        <v/>
      </c>
      <c r="L26" s="0">
        <f>K26-(K26*J26/100)</f>
        <v/>
      </c>
      <c r="M26" s="0">
        <f>ROUND(L26/1.11, 2)</f>
        <v/>
      </c>
      <c r="N26" s="0">
        <f>SUM(P26:CD26)</f>
        <v/>
      </c>
      <c r="O26" s="0">
        <f>COUNTIF(P26:CD26,"&gt;0")</f>
        <v/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</row>
    <row r="27" spans="1:82">
      <c r="A27" s="0">
        <v>25</v>
      </c>
      <c r="B27" s="0" t="inlineStr">
        <is>
          <t>2026-07-04</t>
        </is>
      </c>
      <c r="C27" s="0" t="inlineStr">
        <is>
          <t>71306762</t>
        </is>
      </c>
      <c r="D27" s="0" t="inlineStr">
        <is>
          <t>SMTR_02</t>
        </is>
      </c>
      <c r="E27" s="0" t="inlineStr">
        <is>
          <t>(1881578443)IBU YUYUN WARUNG</t>
        </is>
      </c>
      <c r="F27" s="0" t="inlineStr">
        <is>
          <t>WARUNG NOO</t>
        </is>
      </c>
      <c r="G27" s="0" t="inlineStr">
        <is>
          <t>WARUNG NOO</t>
        </is>
      </c>
      <c r="H27" s="0" t="inlineStr">
        <is>
          <t>Consignment</t>
        </is>
      </c>
      <c r="J27" s="0">
        <v>10</v>
      </c>
      <c r="K27" s="0">
        <f>(P2*P27)+(Q2*Q27)+(R2*R27)+(S2*S27)+(T2*T27)+(U2*U27)+(V2*V27)+(W2*W27)+(X2*X27)+(Y2*Y27)+(Z2*Z27)+(AA2*AA27)+(AB2*AB27)+(AC2*AC27)+(AD2*AD27)+(AE2*AE27)+(AF2*AF27)+(AG2*AG27)+(AH2*AH27)+(AI2*AI27)+(AJ2*AJ27)+(AK2*AK27)+(AL2*AL27)+(AM2*AM27)+(AN2*AN27)+(AO2*AO27)+(AP2*AP27)+(AQ2*AQ27)+(AR2*AR27)+(AS2*AS27)+(AT2*AT27)+(AU2*AU27)+(AV2*AV27)+(AW2*AW27)+(AX2*AX27)+(AY2*AY27)+(AZ2*AZ27)+(BA2*BA27)+(BB2*BB27)+(BC2*BC27)+(BD2*BD27)+(BE2*BE27)+(BF2*BF27)+(BG2*BG27)+(BH2*BH27)+(BI2*BI27)+(BJ2*BJ27)+(BK2*BK27)+(BL2*BL27)+(BM2*BM27)+(BN2*BN27)+(BO2*BO27)+(BP2*BP27)+(BQ2*BQ27)+(BR2*BR27)+(BS2*BS27)+(BT2*BT27)+(BU2*BU27)+(BV2*BV27)+(BW2*BW27)+(BX2*BX27)+(BY2*BY27)+(BZ2*BZ27)+(CA2*CA27)+(CB2*CB27)+(CC2*CC27)+(CD2*CD27)</f>
        <v/>
      </c>
      <c r="L27" s="0">
        <f>K27-(K27*J27/100)</f>
        <v/>
      </c>
      <c r="M27" s="0">
        <f>ROUND(L27/1.11, 2)</f>
        <v/>
      </c>
      <c r="N27" s="0">
        <f>SUM(P27:CD27)</f>
        <v/>
      </c>
      <c r="O27" s="0">
        <f>COUNTIF(P27:CD27,"&gt;0")</f>
        <v/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</row>
    <row r="28" spans="1:82">
      <c r="A28" s="0">
        <v>26</v>
      </c>
      <c r="B28" s="0" t="inlineStr">
        <is>
          <t>2026-07-04</t>
        </is>
      </c>
      <c r="C28" s="0" t="inlineStr">
        <is>
          <t>71306762</t>
        </is>
      </c>
      <c r="D28" s="0" t="inlineStr">
        <is>
          <t>SMTR_02</t>
        </is>
      </c>
      <c r="E28" s="0" t="inlineStr">
        <is>
          <t>(1881578444)ROSDI TOKO</t>
        </is>
      </c>
      <c r="F28" s="0" t="inlineStr">
        <is>
          <t>WARUNG NOO</t>
        </is>
      </c>
      <c r="G28" s="0" t="inlineStr">
        <is>
          <t>WARUNG NOO</t>
        </is>
      </c>
      <c r="H28" s="0" t="inlineStr">
        <is>
          <t>Consignment</t>
        </is>
      </c>
      <c r="J28" s="0">
        <v>10</v>
      </c>
      <c r="K28" s="0">
        <f>(P2*P28)+(Q2*Q28)+(R2*R28)+(S2*S28)+(T2*T28)+(U2*U28)+(V2*V28)+(W2*W28)+(X2*X28)+(Y2*Y28)+(Z2*Z28)+(AA2*AA28)+(AB2*AB28)+(AC2*AC28)+(AD2*AD28)+(AE2*AE28)+(AF2*AF28)+(AG2*AG28)+(AH2*AH28)+(AI2*AI28)+(AJ2*AJ28)+(AK2*AK28)+(AL2*AL28)+(AM2*AM28)+(AN2*AN28)+(AO2*AO28)+(AP2*AP28)+(AQ2*AQ28)+(AR2*AR28)+(AS2*AS28)+(AT2*AT28)+(AU2*AU28)+(AV2*AV28)+(AW2*AW28)+(AX2*AX28)+(AY2*AY28)+(AZ2*AZ28)+(BA2*BA28)+(BB2*BB28)+(BC2*BC28)+(BD2*BD28)+(BE2*BE28)+(BF2*BF28)+(BG2*BG28)+(BH2*BH28)+(BI2*BI28)+(BJ2*BJ28)+(BK2*BK28)+(BL2*BL28)+(BM2*BM28)+(BN2*BN28)+(BO2*BO28)+(BP2*BP28)+(BQ2*BQ28)+(BR2*BR28)+(BS2*BS28)+(BT2*BT28)+(BU2*BU28)+(BV2*BV28)+(BW2*BW28)+(BX2*BX28)+(BY2*BY28)+(BZ2*BZ28)+(CA2*CA28)+(CB2*CB28)+(CC2*CC28)+(CD2*CD28)</f>
        <v/>
      </c>
      <c r="L28" s="0">
        <f>K28-(K28*J28/100)</f>
        <v/>
      </c>
      <c r="M28" s="0">
        <f>ROUND(L28/1.11, 2)</f>
        <v/>
      </c>
      <c r="N28" s="0">
        <f>SUM(P28:CD28)</f>
        <v/>
      </c>
      <c r="O28" s="0">
        <f>COUNTIF(P28:CD28,"&gt;0")</f>
        <v/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</row>
    <row r="29" spans="1:82">
      <c r="A29" s="0">
        <v>27</v>
      </c>
      <c r="B29" s="0" t="inlineStr">
        <is>
          <t>2026-07-04</t>
        </is>
      </c>
      <c r="C29" s="0" t="inlineStr">
        <is>
          <t>71306762</t>
        </is>
      </c>
      <c r="D29" s="0" t="inlineStr">
        <is>
          <t>SMTR_02</t>
        </is>
      </c>
      <c r="E29" s="0" t="inlineStr">
        <is>
          <t>(1881578445)KANAYA TOKO</t>
        </is>
      </c>
      <c r="F29" s="0" t="inlineStr">
        <is>
          <t>WARUNG NOO</t>
        </is>
      </c>
      <c r="G29" s="0" t="inlineStr">
        <is>
          <t>WARUNG NOO</t>
        </is>
      </c>
      <c r="H29" s="0" t="inlineStr">
        <is>
          <t>Consignment</t>
        </is>
      </c>
      <c r="J29" s="0">
        <v>10</v>
      </c>
      <c r="K29" s="0">
        <f>(P2*P29)+(Q2*Q29)+(R2*R29)+(S2*S29)+(T2*T29)+(U2*U29)+(V2*V29)+(W2*W29)+(X2*X29)+(Y2*Y29)+(Z2*Z29)+(AA2*AA29)+(AB2*AB29)+(AC2*AC29)+(AD2*AD29)+(AE2*AE29)+(AF2*AF29)+(AG2*AG29)+(AH2*AH29)+(AI2*AI29)+(AJ2*AJ29)+(AK2*AK29)+(AL2*AL29)+(AM2*AM29)+(AN2*AN29)+(AO2*AO29)+(AP2*AP29)+(AQ2*AQ29)+(AR2*AR29)+(AS2*AS29)+(AT2*AT29)+(AU2*AU29)+(AV2*AV29)+(AW2*AW29)+(AX2*AX29)+(AY2*AY29)+(AZ2*AZ29)+(BA2*BA29)+(BB2*BB29)+(BC2*BC29)+(BD2*BD29)+(BE2*BE29)+(BF2*BF29)+(BG2*BG29)+(BH2*BH29)+(BI2*BI29)+(BJ2*BJ29)+(BK2*BK29)+(BL2*BL29)+(BM2*BM29)+(BN2*BN29)+(BO2*BO29)+(BP2*BP29)+(BQ2*BQ29)+(BR2*BR29)+(BS2*BS29)+(BT2*BT29)+(BU2*BU29)+(BV2*BV29)+(BW2*BW29)+(BX2*BX29)+(BY2*BY29)+(BZ2*BZ29)+(CA2*CA29)+(CB2*CB29)+(CC2*CC29)+(CD2*CD29)</f>
        <v/>
      </c>
      <c r="L29" s="0">
        <f>K29-(K29*J29/100)</f>
        <v/>
      </c>
      <c r="M29" s="0">
        <f>ROUND(L29/1.11, 2)</f>
        <v/>
      </c>
      <c r="N29" s="0">
        <f>SUM(P29:CD29)</f>
        <v/>
      </c>
      <c r="O29" s="0">
        <f>COUNTIF(P29:CD29,"&gt;0")</f>
        <v/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</row>
    <row r="30" spans="1:82">
      <c r="A30" s="0">
        <v>28</v>
      </c>
      <c r="B30" s="0" t="inlineStr">
        <is>
          <t>2026-07-04</t>
        </is>
      </c>
      <c r="C30" s="0" t="inlineStr">
        <is>
          <t>71306762</t>
        </is>
      </c>
      <c r="D30" s="0" t="inlineStr">
        <is>
          <t>SMTR_02</t>
        </is>
      </c>
      <c r="E30" s="0" t="inlineStr">
        <is>
          <t>(1881578738)REPAN TOKO</t>
        </is>
      </c>
      <c r="F30" s="0" t="inlineStr">
        <is>
          <t>WARUNG NOO</t>
        </is>
      </c>
      <c r="G30" s="0" t="inlineStr">
        <is>
          <t>WARUNG NOO</t>
        </is>
      </c>
      <c r="H30" s="0" t="inlineStr">
        <is>
          <t>Consignment</t>
        </is>
      </c>
      <c r="J30" s="0">
        <v>10</v>
      </c>
      <c r="K30" s="0">
        <f>(P2*P30)+(Q2*Q30)+(R2*R30)+(S2*S30)+(T2*T30)+(U2*U30)+(V2*V30)+(W2*W30)+(X2*X30)+(Y2*Y30)+(Z2*Z30)+(AA2*AA30)+(AB2*AB30)+(AC2*AC30)+(AD2*AD30)+(AE2*AE30)+(AF2*AF30)+(AG2*AG30)+(AH2*AH30)+(AI2*AI30)+(AJ2*AJ30)+(AK2*AK30)+(AL2*AL30)+(AM2*AM30)+(AN2*AN30)+(AO2*AO30)+(AP2*AP30)+(AQ2*AQ30)+(AR2*AR30)+(AS2*AS30)+(AT2*AT30)+(AU2*AU30)+(AV2*AV30)+(AW2*AW30)+(AX2*AX30)+(AY2*AY30)+(AZ2*AZ30)+(BA2*BA30)+(BB2*BB30)+(BC2*BC30)+(BD2*BD30)+(BE2*BE30)+(BF2*BF30)+(BG2*BG30)+(BH2*BH30)+(BI2*BI30)+(BJ2*BJ30)+(BK2*BK30)+(BL2*BL30)+(BM2*BM30)+(BN2*BN30)+(BO2*BO30)+(BP2*BP30)+(BQ2*BQ30)+(BR2*BR30)+(BS2*BS30)+(BT2*BT30)+(BU2*BU30)+(BV2*BV30)+(BW2*BW30)+(BX2*BX30)+(BY2*BY30)+(BZ2*BZ30)+(CA2*CA30)+(CB2*CB30)+(CC2*CC30)+(CD2*CD30)</f>
        <v/>
      </c>
      <c r="L30" s="0">
        <f>K30-(K30*J30/100)</f>
        <v/>
      </c>
      <c r="M30" s="0">
        <f>ROUND(L30/1.11, 2)</f>
        <v/>
      </c>
      <c r="N30" s="0">
        <f>SUM(P30:CD30)</f>
        <v/>
      </c>
      <c r="O30" s="0">
        <f>COUNTIF(P30:CD30,"&gt;0")</f>
        <v/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</row>
    <row r="31" spans="1:82">
      <c r="A31" s="0">
        <v>29</v>
      </c>
      <c r="B31" s="0" t="inlineStr">
        <is>
          <t>2026-07-04</t>
        </is>
      </c>
      <c r="C31" s="0" t="inlineStr">
        <is>
          <t>71306762</t>
        </is>
      </c>
      <c r="D31" s="0" t="inlineStr">
        <is>
          <t>SMTR_02</t>
        </is>
      </c>
      <c r="E31" s="0" t="inlineStr">
        <is>
          <t>(1881578739)NAZWA DURIAN</t>
        </is>
      </c>
      <c r="F31" s="0" t="inlineStr">
        <is>
          <t>WARUNG NOO</t>
        </is>
      </c>
      <c r="G31" s="0" t="inlineStr">
        <is>
          <t>WARUNG NOO</t>
        </is>
      </c>
      <c r="H31" s="0" t="inlineStr">
        <is>
          <t>Consignment</t>
        </is>
      </c>
      <c r="J31" s="0">
        <v>10</v>
      </c>
      <c r="K31" s="0">
        <f>(P2*P31)+(Q2*Q31)+(R2*R31)+(S2*S31)+(T2*T31)+(U2*U31)+(V2*V31)+(W2*W31)+(X2*X31)+(Y2*Y31)+(Z2*Z31)+(AA2*AA31)+(AB2*AB31)+(AC2*AC31)+(AD2*AD31)+(AE2*AE31)+(AF2*AF31)+(AG2*AG31)+(AH2*AH31)+(AI2*AI31)+(AJ2*AJ31)+(AK2*AK31)+(AL2*AL31)+(AM2*AM31)+(AN2*AN31)+(AO2*AO31)+(AP2*AP31)+(AQ2*AQ31)+(AR2*AR31)+(AS2*AS31)+(AT2*AT31)+(AU2*AU31)+(AV2*AV31)+(AW2*AW31)+(AX2*AX31)+(AY2*AY31)+(AZ2*AZ31)+(BA2*BA31)+(BB2*BB31)+(BC2*BC31)+(BD2*BD31)+(BE2*BE31)+(BF2*BF31)+(BG2*BG31)+(BH2*BH31)+(BI2*BI31)+(BJ2*BJ31)+(BK2*BK31)+(BL2*BL31)+(BM2*BM31)+(BN2*BN31)+(BO2*BO31)+(BP2*BP31)+(BQ2*BQ31)+(BR2*BR31)+(BS2*BS31)+(BT2*BT31)+(BU2*BU31)+(BV2*BV31)+(BW2*BW31)+(BX2*BX31)+(BY2*BY31)+(BZ2*BZ31)+(CA2*CA31)+(CB2*CB31)+(CC2*CC31)+(CD2*CD31)</f>
        <v/>
      </c>
      <c r="L31" s="0">
        <f>K31-(K31*J31/100)</f>
        <v/>
      </c>
      <c r="M31" s="0">
        <f>ROUND(L31/1.11, 2)</f>
        <v/>
      </c>
      <c r="N31" s="0">
        <f>SUM(P31:CD31)</f>
        <v/>
      </c>
      <c r="O31" s="0">
        <f>COUNTIF(P31:CD31,"&gt;0")</f>
        <v/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</row>
    <row r="32" spans="1:82">
      <c r="A32" s="0">
        <v>30</v>
      </c>
      <c r="B32" s="0" t="inlineStr">
        <is>
          <t>2026-07-04</t>
        </is>
      </c>
      <c r="C32" s="0" t="inlineStr">
        <is>
          <t>71306762</t>
        </is>
      </c>
      <c r="D32" s="0" t="inlineStr">
        <is>
          <t>SMTR_02</t>
        </is>
      </c>
      <c r="E32" s="0" t="inlineStr">
        <is>
          <t>(1881579025)HABIBI TOKO</t>
        </is>
      </c>
      <c r="F32" s="0" t="inlineStr">
        <is>
          <t>WARUNG NOO</t>
        </is>
      </c>
      <c r="G32" s="0" t="inlineStr">
        <is>
          <t>WARUNG NOO</t>
        </is>
      </c>
      <c r="H32" s="0" t="inlineStr">
        <is>
          <t>Consignment</t>
        </is>
      </c>
      <c r="J32" s="0">
        <v>10</v>
      </c>
      <c r="K32" s="0">
        <f>(P2*P32)+(Q2*Q32)+(R2*R32)+(S2*S32)+(T2*T32)+(U2*U32)+(V2*V32)+(W2*W32)+(X2*X32)+(Y2*Y32)+(Z2*Z32)+(AA2*AA32)+(AB2*AB32)+(AC2*AC32)+(AD2*AD32)+(AE2*AE32)+(AF2*AF32)+(AG2*AG32)+(AH2*AH32)+(AI2*AI32)+(AJ2*AJ32)+(AK2*AK32)+(AL2*AL32)+(AM2*AM32)+(AN2*AN32)+(AO2*AO32)+(AP2*AP32)+(AQ2*AQ32)+(AR2*AR32)+(AS2*AS32)+(AT2*AT32)+(AU2*AU32)+(AV2*AV32)+(AW2*AW32)+(AX2*AX32)+(AY2*AY32)+(AZ2*AZ32)+(BA2*BA32)+(BB2*BB32)+(BC2*BC32)+(BD2*BD32)+(BE2*BE32)+(BF2*BF32)+(BG2*BG32)+(BH2*BH32)+(BI2*BI32)+(BJ2*BJ32)+(BK2*BK32)+(BL2*BL32)+(BM2*BM32)+(BN2*BN32)+(BO2*BO32)+(BP2*BP32)+(BQ2*BQ32)+(BR2*BR32)+(BS2*BS32)+(BT2*BT32)+(BU2*BU32)+(BV2*BV32)+(BW2*BW32)+(BX2*BX32)+(BY2*BY32)+(BZ2*BZ32)+(CA2*CA32)+(CB2*CB32)+(CC2*CC32)+(CD2*CD32)</f>
        <v/>
      </c>
      <c r="L32" s="0">
        <f>K32-(K32*J32/100)</f>
        <v/>
      </c>
      <c r="M32" s="0">
        <f>ROUND(L32/1.11, 2)</f>
        <v/>
      </c>
      <c r="N32" s="0">
        <f>SUM(P32:CD32)</f>
        <v/>
      </c>
      <c r="O32" s="0">
        <f>COUNTIF(P32:CD32,"&gt;0")</f>
        <v/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</row>
    <row r="33" spans="1:82">
      <c r="A33" s="0">
        <v>31</v>
      </c>
      <c r="B33" s="0" t="inlineStr">
        <is>
          <t>2026-07-04</t>
        </is>
      </c>
      <c r="C33" s="0" t="inlineStr">
        <is>
          <t>71306762</t>
        </is>
      </c>
      <c r="D33" s="0" t="inlineStr">
        <is>
          <t>SMTR_02</t>
        </is>
      </c>
      <c r="E33" s="0" t="inlineStr">
        <is>
          <t>(1881580355)WARUNG SULE</t>
        </is>
      </c>
      <c r="F33" s="0" t="inlineStr">
        <is>
          <t>WARUNG NOO</t>
        </is>
      </c>
      <c r="G33" s="0" t="inlineStr">
        <is>
          <t>WARUNG NOO</t>
        </is>
      </c>
      <c r="H33" s="0" t="inlineStr">
        <is>
          <t>Consignment</t>
        </is>
      </c>
      <c r="J33" s="0">
        <v>10</v>
      </c>
      <c r="K33" s="0">
        <f>(P2*P33)+(Q2*Q33)+(R2*R33)+(S2*S33)+(T2*T33)+(U2*U33)+(V2*V33)+(W2*W33)+(X2*X33)+(Y2*Y33)+(Z2*Z33)+(AA2*AA33)+(AB2*AB33)+(AC2*AC33)+(AD2*AD33)+(AE2*AE33)+(AF2*AF33)+(AG2*AG33)+(AH2*AH33)+(AI2*AI33)+(AJ2*AJ33)+(AK2*AK33)+(AL2*AL33)+(AM2*AM33)+(AN2*AN33)+(AO2*AO33)+(AP2*AP33)+(AQ2*AQ33)+(AR2*AR33)+(AS2*AS33)+(AT2*AT33)+(AU2*AU33)+(AV2*AV33)+(AW2*AW33)+(AX2*AX33)+(AY2*AY33)+(AZ2*AZ33)+(BA2*BA33)+(BB2*BB33)+(BC2*BC33)+(BD2*BD33)+(BE2*BE33)+(BF2*BF33)+(BG2*BG33)+(BH2*BH33)+(BI2*BI33)+(BJ2*BJ33)+(BK2*BK33)+(BL2*BL33)+(BM2*BM33)+(BN2*BN33)+(BO2*BO33)+(BP2*BP33)+(BQ2*BQ33)+(BR2*BR33)+(BS2*BS33)+(BT2*BT33)+(BU2*BU33)+(BV2*BV33)+(BW2*BW33)+(BX2*BX33)+(BY2*BY33)+(BZ2*BZ33)+(CA2*CA33)+(CB2*CB33)+(CC2*CC33)+(CD2*CD33)</f>
        <v/>
      </c>
      <c r="L33" s="0">
        <f>K33-(K33*J33/100)</f>
        <v/>
      </c>
      <c r="M33" s="0">
        <f>ROUND(L33/1.11, 2)</f>
        <v/>
      </c>
      <c r="N33" s="0">
        <f>SUM(P33:CD33)</f>
        <v/>
      </c>
      <c r="O33" s="0">
        <f>COUNTIF(P33:CD33,"&gt;0")</f>
        <v/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</row>
    <row r="34" spans="1:82">
      <c r="A34" s="0">
        <v>32</v>
      </c>
      <c r="B34" s="0" t="inlineStr">
        <is>
          <t>2026-07-04</t>
        </is>
      </c>
      <c r="C34" s="0" t="inlineStr">
        <is>
          <t>71306762</t>
        </is>
      </c>
      <c r="D34" s="0" t="inlineStr">
        <is>
          <t>SMTR_02</t>
        </is>
      </c>
      <c r="E34" s="0" t="inlineStr">
        <is>
          <t>(1881583376)TOKO IBU INI</t>
        </is>
      </c>
      <c r="F34" s="0" t="inlineStr">
        <is>
          <t>MTI NOO</t>
        </is>
      </c>
      <c r="G34" s="0" t="inlineStr">
        <is>
          <t>MTI NOO</t>
        </is>
      </c>
      <c r="H34" s="0" t="inlineStr">
        <is>
          <t>Consignment</t>
        </is>
      </c>
      <c r="J34" s="0">
        <v>10</v>
      </c>
      <c r="K34" s="0">
        <f>(P2*P34)+(Q2*Q34)+(R2*R34)+(S2*S34)+(T2*T34)+(U2*U34)+(V2*V34)+(W2*W34)+(X2*X34)+(Y2*Y34)+(Z2*Z34)+(AA2*AA34)+(AB2*AB34)+(AC2*AC34)+(AD2*AD34)+(AE2*AE34)+(AF2*AF34)+(AG2*AG34)+(AH2*AH34)+(AI2*AI34)+(AJ2*AJ34)+(AK2*AK34)+(AL2*AL34)+(AM2*AM34)+(AN2*AN34)+(AO2*AO34)+(AP2*AP34)+(AQ2*AQ34)+(AR2*AR34)+(AS2*AS34)+(AT2*AT34)+(AU2*AU34)+(AV2*AV34)+(AW2*AW34)+(AX2*AX34)+(AY2*AY34)+(AZ2*AZ34)+(BA2*BA34)+(BB2*BB34)+(BC2*BC34)+(BD2*BD34)+(BE2*BE34)+(BF2*BF34)+(BG2*BG34)+(BH2*BH34)+(BI2*BI34)+(BJ2*BJ34)+(BK2*BK34)+(BL2*BL34)+(BM2*BM34)+(BN2*BN34)+(BO2*BO34)+(BP2*BP34)+(BQ2*BQ34)+(BR2*BR34)+(BS2*BS34)+(BT2*BT34)+(BU2*BU34)+(BV2*BV34)+(BW2*BW34)+(BX2*BX34)+(BY2*BY34)+(BZ2*BZ34)+(CA2*CA34)+(CB2*CB34)+(CC2*CC34)+(CD2*CD34)</f>
        <v/>
      </c>
      <c r="L34" s="0">
        <f>K34-(K34*J34/100)</f>
        <v/>
      </c>
      <c r="M34" s="0">
        <f>ROUND(L34/1.11, 2)</f>
        <v/>
      </c>
      <c r="N34" s="0">
        <f>SUM(P34:CD34)</f>
        <v/>
      </c>
      <c r="O34" s="0">
        <f>COUNTIF(P34:CD34,"&gt;0")</f>
        <v/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</row>
    <row r="35" spans="1:82">
      <c r="A35" s="0">
        <v>33</v>
      </c>
      <c r="B35" s="0" t="inlineStr">
        <is>
          <t>2026-07-04</t>
        </is>
      </c>
      <c r="C35" s="0" t="inlineStr">
        <is>
          <t>71306762</t>
        </is>
      </c>
      <c r="D35" s="0" t="inlineStr">
        <is>
          <t>SMTR_02</t>
        </is>
      </c>
      <c r="E35" s="0" t="inlineStr">
        <is>
          <t>(1881586941)SRC SUKOCO 99 TOKO</t>
        </is>
      </c>
      <c r="F35" s="0" t="inlineStr">
        <is>
          <t>WARUNG NOO</t>
        </is>
      </c>
      <c r="G35" s="0" t="inlineStr">
        <is>
          <t>WARUNG NOO</t>
        </is>
      </c>
      <c r="H35" s="0" t="inlineStr">
        <is>
          <t>Consignment</t>
        </is>
      </c>
      <c r="J35" s="0">
        <v>10</v>
      </c>
      <c r="K35" s="0">
        <f>(P2*P35)+(Q2*Q35)+(R2*R35)+(S2*S35)+(T2*T35)+(U2*U35)+(V2*V35)+(W2*W35)+(X2*X35)+(Y2*Y35)+(Z2*Z35)+(AA2*AA35)+(AB2*AB35)+(AC2*AC35)+(AD2*AD35)+(AE2*AE35)+(AF2*AF35)+(AG2*AG35)+(AH2*AH35)+(AI2*AI35)+(AJ2*AJ35)+(AK2*AK35)+(AL2*AL35)+(AM2*AM35)+(AN2*AN35)+(AO2*AO35)+(AP2*AP35)+(AQ2*AQ35)+(AR2*AR35)+(AS2*AS35)+(AT2*AT35)+(AU2*AU35)+(AV2*AV35)+(AW2*AW35)+(AX2*AX35)+(AY2*AY35)+(AZ2*AZ35)+(BA2*BA35)+(BB2*BB35)+(BC2*BC35)+(BD2*BD35)+(BE2*BE35)+(BF2*BF35)+(BG2*BG35)+(BH2*BH35)+(BI2*BI35)+(BJ2*BJ35)+(BK2*BK35)+(BL2*BL35)+(BM2*BM35)+(BN2*BN35)+(BO2*BO35)+(BP2*BP35)+(BQ2*BQ35)+(BR2*BR35)+(BS2*BS35)+(BT2*BT35)+(BU2*BU35)+(BV2*BV35)+(BW2*BW35)+(BX2*BX35)+(BY2*BY35)+(BZ2*BZ35)+(CA2*CA35)+(CB2*CB35)+(CC2*CC35)+(CD2*CD35)</f>
        <v/>
      </c>
      <c r="L35" s="0">
        <f>K35-(K35*J35/100)</f>
        <v/>
      </c>
      <c r="M35" s="0">
        <f>ROUND(L35/1.11, 2)</f>
        <v/>
      </c>
      <c r="N35" s="0">
        <f>SUM(P35:CD35)</f>
        <v/>
      </c>
      <c r="O35" s="0">
        <f>COUNTIF(P35:CD35,"&gt;0")</f>
        <v/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</row>
    <row r="36" spans="1:82">
      <c r="A36" s="0">
        <v>34</v>
      </c>
      <c r="B36" s="0" t="inlineStr">
        <is>
          <t>2026-07-04</t>
        </is>
      </c>
      <c r="C36" s="0" t="inlineStr">
        <is>
          <t>71306762</t>
        </is>
      </c>
      <c r="D36" s="0" t="inlineStr">
        <is>
          <t>SMTR_02</t>
        </is>
      </c>
      <c r="E36" s="0" t="inlineStr">
        <is>
          <t>(1881586943)Samudra TOKO</t>
        </is>
      </c>
      <c r="F36" s="0" t="inlineStr">
        <is>
          <t>WARUNG NOO</t>
        </is>
      </c>
      <c r="G36" s="0" t="inlineStr">
        <is>
          <t>WARUNG NOO</t>
        </is>
      </c>
      <c r="H36" s="0" t="inlineStr">
        <is>
          <t>Consignment</t>
        </is>
      </c>
      <c r="J36" s="0">
        <v>10</v>
      </c>
      <c r="K36" s="0">
        <f>(P2*P36)+(Q2*Q36)+(R2*R36)+(S2*S36)+(T2*T36)+(U2*U36)+(V2*V36)+(W2*W36)+(X2*X36)+(Y2*Y36)+(Z2*Z36)+(AA2*AA36)+(AB2*AB36)+(AC2*AC36)+(AD2*AD36)+(AE2*AE36)+(AF2*AF36)+(AG2*AG36)+(AH2*AH36)+(AI2*AI36)+(AJ2*AJ36)+(AK2*AK36)+(AL2*AL36)+(AM2*AM36)+(AN2*AN36)+(AO2*AO36)+(AP2*AP36)+(AQ2*AQ36)+(AR2*AR36)+(AS2*AS36)+(AT2*AT36)+(AU2*AU36)+(AV2*AV36)+(AW2*AW36)+(AX2*AX36)+(AY2*AY36)+(AZ2*AZ36)+(BA2*BA36)+(BB2*BB36)+(BC2*BC36)+(BD2*BD36)+(BE2*BE36)+(BF2*BF36)+(BG2*BG36)+(BH2*BH36)+(BI2*BI36)+(BJ2*BJ36)+(BK2*BK36)+(BL2*BL36)+(BM2*BM36)+(BN2*BN36)+(BO2*BO36)+(BP2*BP36)+(BQ2*BQ36)+(BR2*BR36)+(BS2*BS36)+(BT2*BT36)+(BU2*BU36)+(BV2*BV36)+(BW2*BW36)+(BX2*BX36)+(BY2*BY36)+(BZ2*BZ36)+(CA2*CA36)+(CB2*CB36)+(CC2*CC36)+(CD2*CD36)</f>
        <v/>
      </c>
      <c r="L36" s="0">
        <f>K36-(K36*J36/100)</f>
        <v/>
      </c>
      <c r="M36" s="0">
        <f>ROUND(L36/1.11, 2)</f>
        <v/>
      </c>
      <c r="N36" s="0">
        <f>SUM(P36:CD36)</f>
        <v/>
      </c>
      <c r="O36" s="0">
        <f>COUNTIF(P36:CD36,"&gt;0")</f>
        <v/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</row>
    <row r="37" spans="1:82">
      <c r="A37" s="0">
        <v>35</v>
      </c>
      <c r="B37" s="0" t="inlineStr">
        <is>
          <t>2026-07-04</t>
        </is>
      </c>
      <c r="C37" s="0" t="inlineStr">
        <is>
          <t>71306762</t>
        </is>
      </c>
      <c r="D37" s="0" t="inlineStr">
        <is>
          <t>SMTR_02</t>
        </is>
      </c>
      <c r="E37" s="0" t="inlineStr">
        <is>
          <t>(1881586947)NISA TOKO</t>
        </is>
      </c>
      <c r="F37" s="0" t="inlineStr">
        <is>
          <t>WARUNG NOO</t>
        </is>
      </c>
      <c r="G37" s="0" t="inlineStr">
        <is>
          <t>WARUNG NOO</t>
        </is>
      </c>
      <c r="H37" s="0" t="inlineStr">
        <is>
          <t>Consignment</t>
        </is>
      </c>
      <c r="J37" s="0">
        <v>10</v>
      </c>
      <c r="K37" s="0">
        <f>(P2*P37)+(Q2*Q37)+(R2*R37)+(S2*S37)+(T2*T37)+(U2*U37)+(V2*V37)+(W2*W37)+(X2*X37)+(Y2*Y37)+(Z2*Z37)+(AA2*AA37)+(AB2*AB37)+(AC2*AC37)+(AD2*AD37)+(AE2*AE37)+(AF2*AF37)+(AG2*AG37)+(AH2*AH37)+(AI2*AI37)+(AJ2*AJ37)+(AK2*AK37)+(AL2*AL37)+(AM2*AM37)+(AN2*AN37)+(AO2*AO37)+(AP2*AP37)+(AQ2*AQ37)+(AR2*AR37)+(AS2*AS37)+(AT2*AT37)+(AU2*AU37)+(AV2*AV37)+(AW2*AW37)+(AX2*AX37)+(AY2*AY37)+(AZ2*AZ37)+(BA2*BA37)+(BB2*BB37)+(BC2*BC37)+(BD2*BD37)+(BE2*BE37)+(BF2*BF37)+(BG2*BG37)+(BH2*BH37)+(BI2*BI37)+(BJ2*BJ37)+(BK2*BK37)+(BL2*BL37)+(BM2*BM37)+(BN2*BN37)+(BO2*BO37)+(BP2*BP37)+(BQ2*BQ37)+(BR2*BR37)+(BS2*BS37)+(BT2*BT37)+(BU2*BU37)+(BV2*BV37)+(BW2*BW37)+(BX2*BX37)+(BY2*BY37)+(BZ2*BZ37)+(CA2*CA37)+(CB2*CB37)+(CC2*CC37)+(CD2*CD37)</f>
        <v/>
      </c>
      <c r="L37" s="0">
        <f>K37-(K37*J37/100)</f>
        <v/>
      </c>
      <c r="M37" s="0">
        <f>ROUND(L37/1.11, 2)</f>
        <v/>
      </c>
      <c r="N37" s="0">
        <f>SUM(P37:CD37)</f>
        <v/>
      </c>
      <c r="O37" s="0">
        <f>COUNTIF(P37:CD37,"&gt;0")</f>
        <v/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</row>
    <row r="38" spans="1:82">
      <c r="A38" s="0">
        <v>36</v>
      </c>
      <c r="B38" s="0" t="inlineStr">
        <is>
          <t>2026-07-04</t>
        </is>
      </c>
      <c r="C38" s="0" t="inlineStr">
        <is>
          <t>71306762</t>
        </is>
      </c>
      <c r="D38" s="0" t="inlineStr">
        <is>
          <t>SMTR_02</t>
        </is>
      </c>
      <c r="E38" s="0" t="inlineStr">
        <is>
          <t>(1881587628)FAHRA TOKO</t>
        </is>
      </c>
      <c r="F38" s="0" t="inlineStr">
        <is>
          <t>WARUNG NOO</t>
        </is>
      </c>
      <c r="G38" s="0" t="inlineStr">
        <is>
          <t>WARUNG NOO</t>
        </is>
      </c>
      <c r="H38" s="0" t="inlineStr">
        <is>
          <t>Consignment</t>
        </is>
      </c>
      <c r="J38" s="0">
        <v>10</v>
      </c>
      <c r="K38" s="0">
        <f>(P2*P38)+(Q2*Q38)+(R2*R38)+(S2*S38)+(T2*T38)+(U2*U38)+(V2*V38)+(W2*W38)+(X2*X38)+(Y2*Y38)+(Z2*Z38)+(AA2*AA38)+(AB2*AB38)+(AC2*AC38)+(AD2*AD38)+(AE2*AE38)+(AF2*AF38)+(AG2*AG38)+(AH2*AH38)+(AI2*AI38)+(AJ2*AJ38)+(AK2*AK38)+(AL2*AL38)+(AM2*AM38)+(AN2*AN38)+(AO2*AO38)+(AP2*AP38)+(AQ2*AQ38)+(AR2*AR38)+(AS2*AS38)+(AT2*AT38)+(AU2*AU38)+(AV2*AV38)+(AW2*AW38)+(AX2*AX38)+(AY2*AY38)+(AZ2*AZ38)+(BA2*BA38)+(BB2*BB38)+(BC2*BC38)+(BD2*BD38)+(BE2*BE38)+(BF2*BF38)+(BG2*BG38)+(BH2*BH38)+(BI2*BI38)+(BJ2*BJ38)+(BK2*BK38)+(BL2*BL38)+(BM2*BM38)+(BN2*BN38)+(BO2*BO38)+(BP2*BP38)+(BQ2*BQ38)+(BR2*BR38)+(BS2*BS38)+(BT2*BT38)+(BU2*BU38)+(BV2*BV38)+(BW2*BW38)+(BX2*BX38)+(BY2*BY38)+(BZ2*BZ38)+(CA2*CA38)+(CB2*CB38)+(CC2*CC38)+(CD2*CD38)</f>
        <v/>
      </c>
      <c r="L38" s="0">
        <f>K38-(K38*J38/100)</f>
        <v/>
      </c>
      <c r="M38" s="0">
        <f>ROUND(L38/1.11, 2)</f>
        <v/>
      </c>
      <c r="N38" s="0">
        <f>SUM(P38:CD38)</f>
        <v/>
      </c>
      <c r="O38" s="0">
        <f>COUNTIF(P38:CD38,"&gt;0")</f>
        <v/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</row>
    <row r="39" spans="1:82">
      <c r="A39" s="0">
        <v>37</v>
      </c>
      <c r="B39" s="0" t="inlineStr">
        <is>
          <t>2026-07-04</t>
        </is>
      </c>
      <c r="C39" s="0" t="inlineStr">
        <is>
          <t>71306762</t>
        </is>
      </c>
      <c r="D39" s="0" t="inlineStr">
        <is>
          <t>SMTR_02</t>
        </is>
      </c>
      <c r="E39" s="0" t="inlineStr">
        <is>
          <t>(1881587655)SRC IBU ADE TOKO</t>
        </is>
      </c>
      <c r="F39" s="0" t="inlineStr">
        <is>
          <t>WARUNG NOO</t>
        </is>
      </c>
      <c r="G39" s="0" t="inlineStr">
        <is>
          <t>WARUNG NOO</t>
        </is>
      </c>
      <c r="H39" s="0" t="inlineStr">
        <is>
          <t>Consignment</t>
        </is>
      </c>
      <c r="J39" s="0">
        <v>10</v>
      </c>
      <c r="K39" s="0">
        <f>(P2*P39)+(Q2*Q39)+(R2*R39)+(S2*S39)+(T2*T39)+(U2*U39)+(V2*V39)+(W2*W39)+(X2*X39)+(Y2*Y39)+(Z2*Z39)+(AA2*AA39)+(AB2*AB39)+(AC2*AC39)+(AD2*AD39)+(AE2*AE39)+(AF2*AF39)+(AG2*AG39)+(AH2*AH39)+(AI2*AI39)+(AJ2*AJ39)+(AK2*AK39)+(AL2*AL39)+(AM2*AM39)+(AN2*AN39)+(AO2*AO39)+(AP2*AP39)+(AQ2*AQ39)+(AR2*AR39)+(AS2*AS39)+(AT2*AT39)+(AU2*AU39)+(AV2*AV39)+(AW2*AW39)+(AX2*AX39)+(AY2*AY39)+(AZ2*AZ39)+(BA2*BA39)+(BB2*BB39)+(BC2*BC39)+(BD2*BD39)+(BE2*BE39)+(BF2*BF39)+(BG2*BG39)+(BH2*BH39)+(BI2*BI39)+(BJ2*BJ39)+(BK2*BK39)+(BL2*BL39)+(BM2*BM39)+(BN2*BN39)+(BO2*BO39)+(BP2*BP39)+(BQ2*BQ39)+(BR2*BR39)+(BS2*BS39)+(BT2*BT39)+(BU2*BU39)+(BV2*BV39)+(BW2*BW39)+(BX2*BX39)+(BY2*BY39)+(BZ2*BZ39)+(CA2*CA39)+(CB2*CB39)+(CC2*CC39)+(CD2*CD39)</f>
        <v/>
      </c>
      <c r="L39" s="0">
        <f>K39-(K39*J39/100)</f>
        <v/>
      </c>
      <c r="M39" s="0">
        <f>ROUND(L39/1.11, 2)</f>
        <v/>
      </c>
      <c r="N39" s="0">
        <f>SUM(P39:CD39)</f>
        <v/>
      </c>
      <c r="O39" s="0">
        <f>COUNTIF(P39:CD39,"&gt;0")</f>
        <v/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</row>
    <row r="40" spans="1:82">
      <c r="A40" s="0">
        <v>38</v>
      </c>
      <c r="B40" s="0" t="inlineStr">
        <is>
          <t>2026-07-04</t>
        </is>
      </c>
      <c r="C40" s="0" t="inlineStr">
        <is>
          <t>71306762</t>
        </is>
      </c>
      <c r="D40" s="0" t="inlineStr">
        <is>
          <t>SMTR_02</t>
        </is>
      </c>
      <c r="E40" s="0" t="inlineStr">
        <is>
          <t>(1881588713)MUTIARA BERKAH TOKO</t>
        </is>
      </c>
      <c r="F40" s="0" t="inlineStr">
        <is>
          <t>WARUNG NOO</t>
        </is>
      </c>
      <c r="G40" s="0" t="inlineStr">
        <is>
          <t>WARUNG NOO</t>
        </is>
      </c>
      <c r="H40" s="0" t="inlineStr">
        <is>
          <t>Consignment</t>
        </is>
      </c>
      <c r="J40" s="0">
        <v>10</v>
      </c>
      <c r="K40" s="0">
        <f>(P2*P40)+(Q2*Q40)+(R2*R40)+(S2*S40)+(T2*T40)+(U2*U40)+(V2*V40)+(W2*W40)+(X2*X40)+(Y2*Y40)+(Z2*Z40)+(AA2*AA40)+(AB2*AB40)+(AC2*AC40)+(AD2*AD40)+(AE2*AE40)+(AF2*AF40)+(AG2*AG40)+(AH2*AH40)+(AI2*AI40)+(AJ2*AJ40)+(AK2*AK40)+(AL2*AL40)+(AM2*AM40)+(AN2*AN40)+(AO2*AO40)+(AP2*AP40)+(AQ2*AQ40)+(AR2*AR40)+(AS2*AS40)+(AT2*AT40)+(AU2*AU40)+(AV2*AV40)+(AW2*AW40)+(AX2*AX40)+(AY2*AY40)+(AZ2*AZ40)+(BA2*BA40)+(BB2*BB40)+(BC2*BC40)+(BD2*BD40)+(BE2*BE40)+(BF2*BF40)+(BG2*BG40)+(BH2*BH40)+(BI2*BI40)+(BJ2*BJ40)+(BK2*BK40)+(BL2*BL40)+(BM2*BM40)+(BN2*BN40)+(BO2*BO40)+(BP2*BP40)+(BQ2*BQ40)+(BR2*BR40)+(BS2*BS40)+(BT2*BT40)+(BU2*BU40)+(BV2*BV40)+(BW2*BW40)+(BX2*BX40)+(BY2*BY40)+(BZ2*BZ40)+(CA2*CA40)+(CB2*CB40)+(CC2*CC40)+(CD2*CD40)</f>
        <v/>
      </c>
      <c r="L40" s="0">
        <f>K40-(K40*J40/100)</f>
        <v/>
      </c>
      <c r="M40" s="0">
        <f>ROUND(L40/1.11, 2)</f>
        <v/>
      </c>
      <c r="N40" s="0">
        <f>SUM(P40:CD40)</f>
        <v/>
      </c>
      <c r="O40" s="0">
        <f>COUNTIF(P40:CD40,"&gt;0")</f>
        <v/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</row>
    <row r="41" spans="1:82">
      <c r="A41" s="0">
        <v>39</v>
      </c>
      <c r="B41" s="0" t="inlineStr">
        <is>
          <t>2026-07-04</t>
        </is>
      </c>
      <c r="C41" s="0" t="inlineStr">
        <is>
          <t>71306762</t>
        </is>
      </c>
      <c r="D41" s="0" t="inlineStr">
        <is>
          <t>SMTR_02</t>
        </is>
      </c>
      <c r="E41" s="0" t="inlineStr">
        <is>
          <t>(1881588724)TOKO SRC HASAN</t>
        </is>
      </c>
      <c r="F41" s="0" t="inlineStr">
        <is>
          <t>WARUNG NOO</t>
        </is>
      </c>
      <c r="G41" s="0" t="inlineStr">
        <is>
          <t>WARUNG NOO</t>
        </is>
      </c>
      <c r="H41" s="0" t="inlineStr">
        <is>
          <t>Consignment</t>
        </is>
      </c>
      <c r="J41" s="0">
        <v>10</v>
      </c>
      <c r="K41" s="0">
        <f>(P2*P41)+(Q2*Q41)+(R2*R41)+(S2*S41)+(T2*T41)+(U2*U41)+(V2*V41)+(W2*W41)+(X2*X41)+(Y2*Y41)+(Z2*Z41)+(AA2*AA41)+(AB2*AB41)+(AC2*AC41)+(AD2*AD41)+(AE2*AE41)+(AF2*AF41)+(AG2*AG41)+(AH2*AH41)+(AI2*AI41)+(AJ2*AJ41)+(AK2*AK41)+(AL2*AL41)+(AM2*AM41)+(AN2*AN41)+(AO2*AO41)+(AP2*AP41)+(AQ2*AQ41)+(AR2*AR41)+(AS2*AS41)+(AT2*AT41)+(AU2*AU41)+(AV2*AV41)+(AW2*AW41)+(AX2*AX41)+(AY2*AY41)+(AZ2*AZ41)+(BA2*BA41)+(BB2*BB41)+(BC2*BC41)+(BD2*BD41)+(BE2*BE41)+(BF2*BF41)+(BG2*BG41)+(BH2*BH41)+(BI2*BI41)+(BJ2*BJ41)+(BK2*BK41)+(BL2*BL41)+(BM2*BM41)+(BN2*BN41)+(BO2*BO41)+(BP2*BP41)+(BQ2*BQ41)+(BR2*BR41)+(BS2*BS41)+(BT2*BT41)+(BU2*BU41)+(BV2*BV41)+(BW2*BW41)+(BX2*BX41)+(BY2*BY41)+(BZ2*BZ41)+(CA2*CA41)+(CB2*CB41)+(CC2*CC41)+(CD2*CD41)</f>
        <v/>
      </c>
      <c r="L41" s="0">
        <f>K41-(K41*J41/100)</f>
        <v/>
      </c>
      <c r="M41" s="0">
        <f>ROUND(L41/1.11, 2)</f>
        <v/>
      </c>
      <c r="N41" s="0">
        <f>SUM(P41:CD41)</f>
        <v/>
      </c>
      <c r="O41" s="0">
        <f>COUNTIF(P41:CD41,"&gt;0")</f>
        <v/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</row>
    <row r="42" spans="1:82">
      <c r="A42" s="0">
        <v>40</v>
      </c>
      <c r="B42" s="0" t="inlineStr">
        <is>
          <t>2026-07-04</t>
        </is>
      </c>
      <c r="C42" s="0" t="inlineStr">
        <is>
          <t>71306762</t>
        </is>
      </c>
      <c r="D42" s="0" t="inlineStr">
        <is>
          <t>SMTR_02</t>
        </is>
      </c>
      <c r="E42" s="0" t="inlineStr">
        <is>
          <t>(1881590536)WARUNG MAS KARYO</t>
        </is>
      </c>
      <c r="F42" s="0" t="inlineStr">
        <is>
          <t>WARUNG NOO</t>
        </is>
      </c>
      <c r="G42" s="0" t="inlineStr">
        <is>
          <t>WARUNG NOO</t>
        </is>
      </c>
      <c r="H42" s="0" t="inlineStr">
        <is>
          <t>Consignment</t>
        </is>
      </c>
      <c r="J42" s="0">
        <v>10</v>
      </c>
      <c r="K42" s="0">
        <f>(P2*P42)+(Q2*Q42)+(R2*R42)+(S2*S42)+(T2*T42)+(U2*U42)+(V2*V42)+(W2*W42)+(X2*X42)+(Y2*Y42)+(Z2*Z42)+(AA2*AA42)+(AB2*AB42)+(AC2*AC42)+(AD2*AD42)+(AE2*AE42)+(AF2*AF42)+(AG2*AG42)+(AH2*AH42)+(AI2*AI42)+(AJ2*AJ42)+(AK2*AK42)+(AL2*AL42)+(AM2*AM42)+(AN2*AN42)+(AO2*AO42)+(AP2*AP42)+(AQ2*AQ42)+(AR2*AR42)+(AS2*AS42)+(AT2*AT42)+(AU2*AU42)+(AV2*AV42)+(AW2*AW42)+(AX2*AX42)+(AY2*AY42)+(AZ2*AZ42)+(BA2*BA42)+(BB2*BB42)+(BC2*BC42)+(BD2*BD42)+(BE2*BE42)+(BF2*BF42)+(BG2*BG42)+(BH2*BH42)+(BI2*BI42)+(BJ2*BJ42)+(BK2*BK42)+(BL2*BL42)+(BM2*BM42)+(BN2*BN42)+(BO2*BO42)+(BP2*BP42)+(BQ2*BQ42)+(BR2*BR42)+(BS2*BS42)+(BT2*BT42)+(BU2*BU42)+(BV2*BV42)+(BW2*BW42)+(BX2*BX42)+(BY2*BY42)+(BZ2*BZ42)+(CA2*CA42)+(CB2*CB42)+(CC2*CC42)+(CD2*CD42)</f>
        <v/>
      </c>
      <c r="L42" s="0">
        <f>K42-(K42*J42/100)</f>
        <v/>
      </c>
      <c r="M42" s="0">
        <f>ROUND(L42/1.11, 2)</f>
        <v/>
      </c>
      <c r="N42" s="0">
        <f>SUM(P42:CD42)</f>
        <v/>
      </c>
      <c r="O42" s="0">
        <f>COUNTIF(P42:CD42,"&gt;0")</f>
        <v/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</row>
    <row r="43" spans="1:82">
      <c r="A43" s="0">
        <v>41</v>
      </c>
      <c r="B43" s="0" t="inlineStr">
        <is>
          <t>2026-07-04</t>
        </is>
      </c>
      <c r="C43" s="0" t="inlineStr">
        <is>
          <t>71306763</t>
        </is>
      </c>
      <c r="D43" s="0" t="inlineStr">
        <is>
          <t>SMBL-01</t>
        </is>
      </c>
      <c r="E43" s="0" t="inlineStr">
        <is>
          <t>(1881579016)KKI MART</t>
        </is>
      </c>
      <c r="F43" s="0" t="inlineStr">
        <is>
          <t>MTI NOO</t>
        </is>
      </c>
      <c r="G43" s="0" t="inlineStr">
        <is>
          <t>MTI NOO</t>
        </is>
      </c>
      <c r="H43" s="0" t="inlineStr">
        <is>
          <t>Consignment</t>
        </is>
      </c>
      <c r="J43" s="0">
        <v>11.85</v>
      </c>
      <c r="K43" s="0">
        <f>(P2*P43)+(Q2*Q43)+(R2*R43)+(S2*S43)+(T2*T43)+(U2*U43)+(V2*V43)+(W2*W43)+(X2*X43)+(Y2*Y43)+(Z2*Z43)+(AA2*AA43)+(AB2*AB43)+(AC2*AC43)+(AD2*AD43)+(AE2*AE43)+(AF2*AF43)+(AG2*AG43)+(AH2*AH43)+(AI2*AI43)+(AJ2*AJ43)+(AK2*AK43)+(AL2*AL43)+(AM2*AM43)+(AN2*AN43)+(AO2*AO43)+(AP2*AP43)+(AQ2*AQ43)+(AR2*AR43)+(AS2*AS43)+(AT2*AT43)+(AU2*AU43)+(AV2*AV43)+(AW2*AW43)+(AX2*AX43)+(AY2*AY43)+(AZ2*AZ43)+(BA2*BA43)+(BB2*BB43)+(BC2*BC43)+(BD2*BD43)+(BE2*BE43)+(BF2*BF43)+(BG2*BG43)+(BH2*BH43)+(BI2*BI43)+(BJ2*BJ43)+(BK2*BK43)+(BL2*BL43)+(BM2*BM43)+(BN2*BN43)+(BO2*BO43)+(BP2*BP43)+(BQ2*BQ43)+(BR2*BR43)+(BS2*BS43)+(BT2*BT43)+(BU2*BU43)+(BV2*BV43)+(BW2*BW43)+(BX2*BX43)+(BY2*BY43)+(BZ2*BZ43)+(CA2*CA43)+(CB2*CB43)+(CC2*CC43)+(CD2*CD43)</f>
        <v/>
      </c>
      <c r="L43" s="0">
        <f>K43-(K43*J43/100)</f>
        <v/>
      </c>
      <c r="M43" s="0">
        <f>ROUND(L43/1.11, 2)</f>
        <v/>
      </c>
      <c r="N43" s="0">
        <f>SUM(P43:CD43)</f>
        <v/>
      </c>
      <c r="O43" s="0">
        <f>COUNTIF(P43:CD43,"&gt;0")</f>
        <v/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</row>
    <row r="44" spans="1:82">
      <c r="A44" s="0">
        <v>42</v>
      </c>
      <c r="B44" s="0" t="inlineStr">
        <is>
          <t>2026-07-04</t>
        </is>
      </c>
      <c r="C44" s="0" t="inlineStr">
        <is>
          <t>71306763</t>
        </is>
      </c>
      <c r="D44" s="0" t="inlineStr">
        <is>
          <t>SMBL-01</t>
        </is>
      </c>
      <c r="E44" s="0" t="inlineStr">
        <is>
          <t>(1881579021)MEGA MM I TOKO</t>
        </is>
      </c>
      <c r="F44" s="0" t="inlineStr">
        <is>
          <t>MTI NOO</t>
        </is>
      </c>
      <c r="G44" s="0" t="inlineStr">
        <is>
          <t>MTI NOO</t>
        </is>
      </c>
      <c r="H44" s="0" t="inlineStr">
        <is>
          <t>Consignment</t>
        </is>
      </c>
      <c r="J44" s="0">
        <v>10</v>
      </c>
      <c r="K44" s="0">
        <f>(P2*P44)+(Q2*Q44)+(R2*R44)+(S2*S44)+(T2*T44)+(U2*U44)+(V2*V44)+(W2*W44)+(X2*X44)+(Y2*Y44)+(Z2*Z44)+(AA2*AA44)+(AB2*AB44)+(AC2*AC44)+(AD2*AD44)+(AE2*AE44)+(AF2*AF44)+(AG2*AG44)+(AH2*AH44)+(AI2*AI44)+(AJ2*AJ44)+(AK2*AK44)+(AL2*AL44)+(AM2*AM44)+(AN2*AN44)+(AO2*AO44)+(AP2*AP44)+(AQ2*AQ44)+(AR2*AR44)+(AS2*AS44)+(AT2*AT44)+(AU2*AU44)+(AV2*AV44)+(AW2*AW44)+(AX2*AX44)+(AY2*AY44)+(AZ2*AZ44)+(BA2*BA44)+(BB2*BB44)+(BC2*BC44)+(BD2*BD44)+(BE2*BE44)+(BF2*BF44)+(BG2*BG44)+(BH2*BH44)+(BI2*BI44)+(BJ2*BJ44)+(BK2*BK44)+(BL2*BL44)+(BM2*BM44)+(BN2*BN44)+(BO2*BO44)+(BP2*BP44)+(BQ2*BQ44)+(BR2*BR44)+(BS2*BS44)+(BT2*BT44)+(BU2*BU44)+(BV2*BV44)+(BW2*BW44)+(BX2*BX44)+(BY2*BY44)+(BZ2*BZ44)+(CA2*CA44)+(CB2*CB44)+(CC2*CC44)+(CD2*CD44)</f>
        <v/>
      </c>
      <c r="L44" s="0">
        <f>K44-(K44*J44/100)</f>
        <v/>
      </c>
      <c r="M44" s="0">
        <f>ROUND(L44/1.11, 2)</f>
        <v/>
      </c>
      <c r="N44" s="0">
        <f>SUM(P44:CD44)</f>
        <v/>
      </c>
      <c r="O44" s="0">
        <f>COUNTIF(P44:CD44,"&gt;0")</f>
        <v/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</row>
    <row r="45" spans="1:82">
      <c r="A45" s="0">
        <v>43</v>
      </c>
      <c r="B45" s="0" t="inlineStr">
        <is>
          <t>2026-07-04</t>
        </is>
      </c>
      <c r="C45" s="0" t="inlineStr">
        <is>
          <t>71306763</t>
        </is>
      </c>
      <c r="D45" s="0" t="inlineStr">
        <is>
          <t>SMBL-01</t>
        </is>
      </c>
      <c r="E45" s="0" t="inlineStr">
        <is>
          <t>(1881579022)MEGA MM III</t>
        </is>
      </c>
      <c r="F45" s="0" t="inlineStr">
        <is>
          <t>MTI NOO</t>
        </is>
      </c>
      <c r="G45" s="0" t="inlineStr">
        <is>
          <t>MTI NOO</t>
        </is>
      </c>
      <c r="H45" s="0" t="inlineStr">
        <is>
          <t>Consignment</t>
        </is>
      </c>
      <c r="J45" s="0">
        <v>10</v>
      </c>
      <c r="K45" s="0">
        <f>(P2*P45)+(Q2*Q45)+(R2*R45)+(S2*S45)+(T2*T45)+(U2*U45)+(V2*V45)+(W2*W45)+(X2*X45)+(Y2*Y45)+(Z2*Z45)+(AA2*AA45)+(AB2*AB45)+(AC2*AC45)+(AD2*AD45)+(AE2*AE45)+(AF2*AF45)+(AG2*AG45)+(AH2*AH45)+(AI2*AI45)+(AJ2*AJ45)+(AK2*AK45)+(AL2*AL45)+(AM2*AM45)+(AN2*AN45)+(AO2*AO45)+(AP2*AP45)+(AQ2*AQ45)+(AR2*AR45)+(AS2*AS45)+(AT2*AT45)+(AU2*AU45)+(AV2*AV45)+(AW2*AW45)+(AX2*AX45)+(AY2*AY45)+(AZ2*AZ45)+(BA2*BA45)+(BB2*BB45)+(BC2*BC45)+(BD2*BD45)+(BE2*BE45)+(BF2*BF45)+(BG2*BG45)+(BH2*BH45)+(BI2*BI45)+(BJ2*BJ45)+(BK2*BK45)+(BL2*BL45)+(BM2*BM45)+(BN2*BN45)+(BO2*BO45)+(BP2*BP45)+(BQ2*BQ45)+(BR2*BR45)+(BS2*BS45)+(BT2*BT45)+(BU2*BU45)+(BV2*BV45)+(BW2*BW45)+(BX2*BX45)+(BY2*BY45)+(BZ2*BZ45)+(CA2*CA45)+(CB2*CB45)+(CC2*CC45)+(CD2*CD45)</f>
        <v/>
      </c>
      <c r="L45" s="0">
        <f>K45-(K45*J45/100)</f>
        <v/>
      </c>
      <c r="M45" s="0">
        <f>ROUND(L45/1.11, 2)</f>
        <v/>
      </c>
      <c r="N45" s="0">
        <f>SUM(P45:CD45)</f>
        <v/>
      </c>
      <c r="O45" s="0">
        <f>COUNTIF(P45:CD45,"&gt;0")</f>
        <v/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</row>
    <row r="46" spans="1:82">
      <c r="A46" s="0">
        <v>44</v>
      </c>
      <c r="B46" s="0" t="inlineStr">
        <is>
          <t>2026-07-04</t>
        </is>
      </c>
      <c r="C46" s="0" t="inlineStr">
        <is>
          <t>71306763</t>
        </is>
      </c>
      <c r="D46" s="0" t="inlineStr">
        <is>
          <t>SMBL-01</t>
        </is>
      </c>
      <c r="E46" s="0" t="inlineStr">
        <is>
          <t>(1881579023)FAMILY VAKSINDO TOKO</t>
        </is>
      </c>
      <c r="F46" s="0" t="inlineStr">
        <is>
          <t>WARUNG NOO</t>
        </is>
      </c>
      <c r="G46" s="0" t="inlineStr">
        <is>
          <t>WARUNG NOO</t>
        </is>
      </c>
      <c r="H46" s="0" t="inlineStr">
        <is>
          <t>Consignment</t>
        </is>
      </c>
      <c r="J46" s="0">
        <v>10</v>
      </c>
      <c r="K46" s="0">
        <f>(P2*P46)+(Q2*Q46)+(R2*R46)+(S2*S46)+(T2*T46)+(U2*U46)+(V2*V46)+(W2*W46)+(X2*X46)+(Y2*Y46)+(Z2*Z46)+(AA2*AA46)+(AB2*AB46)+(AC2*AC46)+(AD2*AD46)+(AE2*AE46)+(AF2*AF46)+(AG2*AG46)+(AH2*AH46)+(AI2*AI46)+(AJ2*AJ46)+(AK2*AK46)+(AL2*AL46)+(AM2*AM46)+(AN2*AN46)+(AO2*AO46)+(AP2*AP46)+(AQ2*AQ46)+(AR2*AR46)+(AS2*AS46)+(AT2*AT46)+(AU2*AU46)+(AV2*AV46)+(AW2*AW46)+(AX2*AX46)+(AY2*AY46)+(AZ2*AZ46)+(BA2*BA46)+(BB2*BB46)+(BC2*BC46)+(BD2*BD46)+(BE2*BE46)+(BF2*BF46)+(BG2*BG46)+(BH2*BH46)+(BI2*BI46)+(BJ2*BJ46)+(BK2*BK46)+(BL2*BL46)+(BM2*BM46)+(BN2*BN46)+(BO2*BO46)+(BP2*BP46)+(BQ2*BQ46)+(BR2*BR46)+(BS2*BS46)+(BT2*BT46)+(BU2*BU46)+(BV2*BV46)+(BW2*BW46)+(BX2*BX46)+(BY2*BY46)+(BZ2*BZ46)+(CA2*CA46)+(CB2*CB46)+(CC2*CC46)+(CD2*CD46)</f>
        <v/>
      </c>
      <c r="L46" s="0">
        <f>K46-(K46*J46/100)</f>
        <v/>
      </c>
      <c r="M46" s="0">
        <f>ROUND(L46/1.11, 2)</f>
        <v/>
      </c>
      <c r="N46" s="0">
        <f>SUM(P46:CD46)</f>
        <v/>
      </c>
      <c r="O46" s="0">
        <f>COUNTIF(P46:CD46,"&gt;0")</f>
        <v/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</row>
    <row r="47" spans="1:82">
      <c r="A47" s="0">
        <v>45</v>
      </c>
      <c r="B47" s="0" t="inlineStr">
        <is>
          <t>2026-07-04</t>
        </is>
      </c>
      <c r="C47" s="0" t="inlineStr">
        <is>
          <t>71306763</t>
        </is>
      </c>
      <c r="D47" s="0" t="inlineStr">
        <is>
          <t>SMBL-01</t>
        </is>
      </c>
      <c r="E47" s="0" t="inlineStr">
        <is>
          <t>(1881579382)TOKO ROHADI</t>
        </is>
      </c>
      <c r="F47" s="0" t="inlineStr">
        <is>
          <t>WARUNG NOO</t>
        </is>
      </c>
      <c r="G47" s="0" t="inlineStr">
        <is>
          <t>WARUNG NOO</t>
        </is>
      </c>
      <c r="H47" s="0" t="inlineStr">
        <is>
          <t>Consignment</t>
        </is>
      </c>
      <c r="J47" s="0">
        <v>10</v>
      </c>
      <c r="K47" s="0">
        <f>(P2*P47)+(Q2*Q47)+(R2*R47)+(S2*S47)+(T2*T47)+(U2*U47)+(V2*V47)+(W2*W47)+(X2*X47)+(Y2*Y47)+(Z2*Z47)+(AA2*AA47)+(AB2*AB47)+(AC2*AC47)+(AD2*AD47)+(AE2*AE47)+(AF2*AF47)+(AG2*AG47)+(AH2*AH47)+(AI2*AI47)+(AJ2*AJ47)+(AK2*AK47)+(AL2*AL47)+(AM2*AM47)+(AN2*AN47)+(AO2*AO47)+(AP2*AP47)+(AQ2*AQ47)+(AR2*AR47)+(AS2*AS47)+(AT2*AT47)+(AU2*AU47)+(AV2*AV47)+(AW2*AW47)+(AX2*AX47)+(AY2*AY47)+(AZ2*AZ47)+(BA2*BA47)+(BB2*BB47)+(BC2*BC47)+(BD2*BD47)+(BE2*BE47)+(BF2*BF47)+(BG2*BG47)+(BH2*BH47)+(BI2*BI47)+(BJ2*BJ47)+(BK2*BK47)+(BL2*BL47)+(BM2*BM47)+(BN2*BN47)+(BO2*BO47)+(BP2*BP47)+(BQ2*BQ47)+(BR2*BR47)+(BS2*BS47)+(BT2*BT47)+(BU2*BU47)+(BV2*BV47)+(BW2*BW47)+(BX2*BX47)+(BY2*BY47)+(BZ2*BZ47)+(CA2*CA47)+(CB2*CB47)+(CC2*CC47)+(CD2*CD47)</f>
        <v/>
      </c>
      <c r="L47" s="0">
        <f>K47-(K47*J47/100)</f>
        <v/>
      </c>
      <c r="M47" s="0">
        <f>ROUND(L47/1.11, 2)</f>
        <v/>
      </c>
      <c r="N47" s="0">
        <f>SUM(P47:CD47)</f>
        <v/>
      </c>
      <c r="O47" s="0">
        <f>COUNTIF(P47:CD47,"&gt;0")</f>
        <v/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</row>
    <row r="48" spans="1:82">
      <c r="A48" s="0">
        <v>46</v>
      </c>
      <c r="B48" s="0" t="inlineStr">
        <is>
          <t>2026-07-04</t>
        </is>
      </c>
      <c r="C48" s="0" t="inlineStr">
        <is>
          <t>71306763</t>
        </is>
      </c>
      <c r="D48" s="0" t="inlineStr">
        <is>
          <t>SMBL-01</t>
        </is>
      </c>
      <c r="E48" s="0" t="inlineStr">
        <is>
          <t>(1881581286)MM3 WANAHERANG </t>
        </is>
      </c>
      <c r="F48" s="0" t="inlineStr">
        <is>
          <t>MTI NOO</t>
        </is>
      </c>
      <c r="G48" s="0" t="inlineStr">
        <is>
          <t>MTI NOO</t>
        </is>
      </c>
      <c r="H48" s="0" t="inlineStr">
        <is>
          <t>Consignment</t>
        </is>
      </c>
      <c r="J48" s="0">
        <v>10</v>
      </c>
      <c r="K48" s="0">
        <f>(P2*P48)+(Q2*Q48)+(R2*R48)+(S2*S48)+(T2*T48)+(U2*U48)+(V2*V48)+(W2*W48)+(X2*X48)+(Y2*Y48)+(Z2*Z48)+(AA2*AA48)+(AB2*AB48)+(AC2*AC48)+(AD2*AD48)+(AE2*AE48)+(AF2*AF48)+(AG2*AG48)+(AH2*AH48)+(AI2*AI48)+(AJ2*AJ48)+(AK2*AK48)+(AL2*AL48)+(AM2*AM48)+(AN2*AN48)+(AO2*AO48)+(AP2*AP48)+(AQ2*AQ48)+(AR2*AR48)+(AS2*AS48)+(AT2*AT48)+(AU2*AU48)+(AV2*AV48)+(AW2*AW48)+(AX2*AX48)+(AY2*AY48)+(AZ2*AZ48)+(BA2*BA48)+(BB2*BB48)+(BC2*BC48)+(BD2*BD48)+(BE2*BE48)+(BF2*BF48)+(BG2*BG48)+(BH2*BH48)+(BI2*BI48)+(BJ2*BJ48)+(BK2*BK48)+(BL2*BL48)+(BM2*BM48)+(BN2*BN48)+(BO2*BO48)+(BP2*BP48)+(BQ2*BQ48)+(BR2*BR48)+(BS2*BS48)+(BT2*BT48)+(BU2*BU48)+(BV2*BV48)+(BW2*BW48)+(BX2*BX48)+(BY2*BY48)+(BZ2*BZ48)+(CA2*CA48)+(CB2*CB48)+(CC2*CC48)+(CD2*CD48)</f>
        <v/>
      </c>
      <c r="L48" s="0">
        <f>K48-(K48*J48/100)</f>
        <v/>
      </c>
      <c r="M48" s="0">
        <f>ROUND(L48/1.11, 2)</f>
        <v/>
      </c>
      <c r="N48" s="0">
        <f>SUM(P48:CD48)</f>
        <v/>
      </c>
      <c r="O48" s="0">
        <f>COUNTIF(P48:CD48,"&gt;0")</f>
        <v/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</row>
    <row r="49" spans="1:82">
      <c r="A49" s="0">
        <v>47</v>
      </c>
      <c r="B49" s="0" t="inlineStr">
        <is>
          <t>2026-07-04</t>
        </is>
      </c>
      <c r="C49" s="0" t="inlineStr">
        <is>
          <t>71306763</t>
        </is>
      </c>
      <c r="D49" s="0" t="inlineStr">
        <is>
          <t>SMBL-01</t>
        </is>
      </c>
      <c r="E49" s="0" t="inlineStr">
        <is>
          <t>(1881581362)TOKO UNI MERI</t>
        </is>
      </c>
      <c r="F49" s="0" t="inlineStr">
        <is>
          <t>MTI NOO</t>
        </is>
      </c>
      <c r="G49" s="0" t="inlineStr">
        <is>
          <t>MTI NOO</t>
        </is>
      </c>
      <c r="H49" s="0" t="inlineStr">
        <is>
          <t>Consignment</t>
        </is>
      </c>
      <c r="J49" s="0">
        <v>10</v>
      </c>
      <c r="K49" s="0">
        <f>(P2*P49)+(Q2*Q49)+(R2*R49)+(S2*S49)+(T2*T49)+(U2*U49)+(V2*V49)+(W2*W49)+(X2*X49)+(Y2*Y49)+(Z2*Z49)+(AA2*AA49)+(AB2*AB49)+(AC2*AC49)+(AD2*AD49)+(AE2*AE49)+(AF2*AF49)+(AG2*AG49)+(AH2*AH49)+(AI2*AI49)+(AJ2*AJ49)+(AK2*AK49)+(AL2*AL49)+(AM2*AM49)+(AN2*AN49)+(AO2*AO49)+(AP2*AP49)+(AQ2*AQ49)+(AR2*AR49)+(AS2*AS49)+(AT2*AT49)+(AU2*AU49)+(AV2*AV49)+(AW2*AW49)+(AX2*AX49)+(AY2*AY49)+(AZ2*AZ49)+(BA2*BA49)+(BB2*BB49)+(BC2*BC49)+(BD2*BD49)+(BE2*BE49)+(BF2*BF49)+(BG2*BG49)+(BH2*BH49)+(BI2*BI49)+(BJ2*BJ49)+(BK2*BK49)+(BL2*BL49)+(BM2*BM49)+(BN2*BN49)+(BO2*BO49)+(BP2*BP49)+(BQ2*BQ49)+(BR2*BR49)+(BS2*BS49)+(BT2*BT49)+(BU2*BU49)+(BV2*BV49)+(BW2*BW49)+(BX2*BX49)+(BY2*BY49)+(BZ2*BZ49)+(CA2*CA49)+(CB2*CB49)+(CC2*CC49)+(CD2*CD49)</f>
        <v/>
      </c>
      <c r="L49" s="0">
        <f>K49-(K49*J49/100)</f>
        <v/>
      </c>
      <c r="M49" s="0">
        <f>ROUND(L49/1.11, 2)</f>
        <v/>
      </c>
      <c r="N49" s="0">
        <f>SUM(P49:CD49)</f>
        <v/>
      </c>
      <c r="O49" s="0">
        <f>COUNTIF(P49:CD49,"&gt;0")</f>
        <v/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</row>
    <row r="50" spans="1:82">
      <c r="A50" s="0">
        <v>48</v>
      </c>
      <c r="B50" s="0" t="inlineStr">
        <is>
          <t>2026-07-04</t>
        </is>
      </c>
      <c r="C50" s="0" t="inlineStr">
        <is>
          <t>71306763</t>
        </is>
      </c>
      <c r="D50" s="0" t="inlineStr">
        <is>
          <t>SMBL-01</t>
        </is>
      </c>
      <c r="E50" s="0" t="inlineStr">
        <is>
          <t>(1881582967)TOKO TRIALIS</t>
        </is>
      </c>
      <c r="F50" s="0" t="inlineStr">
        <is>
          <t>WARUNG NOO</t>
        </is>
      </c>
      <c r="G50" s="0" t="inlineStr">
        <is>
          <t>WARUNG NOO</t>
        </is>
      </c>
      <c r="H50" s="0" t="inlineStr">
        <is>
          <t>Consignment</t>
        </is>
      </c>
      <c r="J50" s="0">
        <v>10</v>
      </c>
      <c r="K50" s="0">
        <f>(P2*P50)+(Q2*Q50)+(R2*R50)+(S2*S50)+(T2*T50)+(U2*U50)+(V2*V50)+(W2*W50)+(X2*X50)+(Y2*Y50)+(Z2*Z50)+(AA2*AA50)+(AB2*AB50)+(AC2*AC50)+(AD2*AD50)+(AE2*AE50)+(AF2*AF50)+(AG2*AG50)+(AH2*AH50)+(AI2*AI50)+(AJ2*AJ50)+(AK2*AK50)+(AL2*AL50)+(AM2*AM50)+(AN2*AN50)+(AO2*AO50)+(AP2*AP50)+(AQ2*AQ50)+(AR2*AR50)+(AS2*AS50)+(AT2*AT50)+(AU2*AU50)+(AV2*AV50)+(AW2*AW50)+(AX2*AX50)+(AY2*AY50)+(AZ2*AZ50)+(BA2*BA50)+(BB2*BB50)+(BC2*BC50)+(BD2*BD50)+(BE2*BE50)+(BF2*BF50)+(BG2*BG50)+(BH2*BH50)+(BI2*BI50)+(BJ2*BJ50)+(BK2*BK50)+(BL2*BL50)+(BM2*BM50)+(BN2*BN50)+(BO2*BO50)+(BP2*BP50)+(BQ2*BQ50)+(BR2*BR50)+(BS2*BS50)+(BT2*BT50)+(BU2*BU50)+(BV2*BV50)+(BW2*BW50)+(BX2*BX50)+(BY2*BY50)+(BZ2*BZ50)+(CA2*CA50)+(CB2*CB50)+(CC2*CC50)+(CD2*CD50)</f>
        <v/>
      </c>
      <c r="L50" s="0">
        <f>K50-(K50*J50/100)</f>
        <v/>
      </c>
      <c r="M50" s="0">
        <f>ROUND(L50/1.11, 2)</f>
        <v/>
      </c>
      <c r="N50" s="0">
        <f>SUM(P50:CD50)</f>
        <v/>
      </c>
      <c r="O50" s="0">
        <f>COUNTIF(P50:CD50,"&gt;0")</f>
        <v/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</row>
    <row r="51" spans="1:82">
      <c r="A51" s="0">
        <v>49</v>
      </c>
      <c r="B51" s="0" t="inlineStr">
        <is>
          <t>2026-07-04</t>
        </is>
      </c>
      <c r="C51" s="0" t="inlineStr">
        <is>
          <t>71306763</t>
        </is>
      </c>
      <c r="D51" s="0" t="inlineStr">
        <is>
          <t>SMBL-01</t>
        </is>
      </c>
      <c r="E51" s="0" t="inlineStr">
        <is>
          <t>(1881588707)BAGUS TOKO</t>
        </is>
      </c>
      <c r="F51" s="0" t="inlineStr">
        <is>
          <t>WARUNG NOO</t>
        </is>
      </c>
      <c r="G51" s="0" t="inlineStr">
        <is>
          <t>WARUNG NOO</t>
        </is>
      </c>
      <c r="H51" s="0" t="inlineStr">
        <is>
          <t>Consignment</t>
        </is>
      </c>
      <c r="J51" s="0">
        <v>10</v>
      </c>
      <c r="K51" s="0">
        <f>(P2*P51)+(Q2*Q51)+(R2*R51)+(S2*S51)+(T2*T51)+(U2*U51)+(V2*V51)+(W2*W51)+(X2*X51)+(Y2*Y51)+(Z2*Z51)+(AA2*AA51)+(AB2*AB51)+(AC2*AC51)+(AD2*AD51)+(AE2*AE51)+(AF2*AF51)+(AG2*AG51)+(AH2*AH51)+(AI2*AI51)+(AJ2*AJ51)+(AK2*AK51)+(AL2*AL51)+(AM2*AM51)+(AN2*AN51)+(AO2*AO51)+(AP2*AP51)+(AQ2*AQ51)+(AR2*AR51)+(AS2*AS51)+(AT2*AT51)+(AU2*AU51)+(AV2*AV51)+(AW2*AW51)+(AX2*AX51)+(AY2*AY51)+(AZ2*AZ51)+(BA2*BA51)+(BB2*BB51)+(BC2*BC51)+(BD2*BD51)+(BE2*BE51)+(BF2*BF51)+(BG2*BG51)+(BH2*BH51)+(BI2*BI51)+(BJ2*BJ51)+(BK2*BK51)+(BL2*BL51)+(BM2*BM51)+(BN2*BN51)+(BO2*BO51)+(BP2*BP51)+(BQ2*BQ51)+(BR2*BR51)+(BS2*BS51)+(BT2*BT51)+(BU2*BU51)+(BV2*BV51)+(BW2*BW51)+(BX2*BX51)+(BY2*BY51)+(BZ2*BZ51)+(CA2*CA51)+(CB2*CB51)+(CC2*CC51)+(CD2*CD51)</f>
        <v/>
      </c>
      <c r="L51" s="0">
        <f>K51-(K51*J51/100)</f>
        <v/>
      </c>
      <c r="M51" s="0">
        <f>ROUND(L51/1.11, 2)</f>
        <v/>
      </c>
      <c r="N51" s="0">
        <f>SUM(P51:CD51)</f>
        <v/>
      </c>
      <c r="O51" s="0">
        <f>COUNTIF(P51:CD51,"&gt;0")</f>
        <v/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</row>
    <row r="52" spans="1:82">
      <c r="A52" s="0">
        <v>50</v>
      </c>
      <c r="B52" s="0" t="inlineStr">
        <is>
          <t>2026-07-04</t>
        </is>
      </c>
      <c r="C52" s="0" t="inlineStr">
        <is>
          <t>71306763</t>
        </is>
      </c>
      <c r="D52" s="0" t="inlineStr">
        <is>
          <t>SMBL-01</t>
        </is>
      </c>
      <c r="E52" s="0" t="inlineStr">
        <is>
          <t>(1881588817)ADELLA TOKO</t>
        </is>
      </c>
      <c r="F52" s="0" t="inlineStr">
        <is>
          <t>WARUNG NOO</t>
        </is>
      </c>
      <c r="G52" s="0" t="inlineStr">
        <is>
          <t>WARUNG NOO</t>
        </is>
      </c>
      <c r="H52" s="0" t="inlineStr">
        <is>
          <t>Consignment</t>
        </is>
      </c>
      <c r="J52" s="0">
        <v>10</v>
      </c>
      <c r="K52" s="0">
        <f>(P2*P52)+(Q2*Q52)+(R2*R52)+(S2*S52)+(T2*T52)+(U2*U52)+(V2*V52)+(W2*W52)+(X2*X52)+(Y2*Y52)+(Z2*Z52)+(AA2*AA52)+(AB2*AB52)+(AC2*AC52)+(AD2*AD52)+(AE2*AE52)+(AF2*AF52)+(AG2*AG52)+(AH2*AH52)+(AI2*AI52)+(AJ2*AJ52)+(AK2*AK52)+(AL2*AL52)+(AM2*AM52)+(AN2*AN52)+(AO2*AO52)+(AP2*AP52)+(AQ2*AQ52)+(AR2*AR52)+(AS2*AS52)+(AT2*AT52)+(AU2*AU52)+(AV2*AV52)+(AW2*AW52)+(AX2*AX52)+(AY2*AY52)+(AZ2*AZ52)+(BA2*BA52)+(BB2*BB52)+(BC2*BC52)+(BD2*BD52)+(BE2*BE52)+(BF2*BF52)+(BG2*BG52)+(BH2*BH52)+(BI2*BI52)+(BJ2*BJ52)+(BK2*BK52)+(BL2*BL52)+(BM2*BM52)+(BN2*BN52)+(BO2*BO52)+(BP2*BP52)+(BQ2*BQ52)+(BR2*BR52)+(BS2*BS52)+(BT2*BT52)+(BU2*BU52)+(BV2*BV52)+(BW2*BW52)+(BX2*BX52)+(BY2*BY52)+(BZ2*BZ52)+(CA2*CA52)+(CB2*CB52)+(CC2*CC52)+(CD2*CD52)</f>
        <v/>
      </c>
      <c r="L52" s="0">
        <f>K52-(K52*J52/100)</f>
        <v/>
      </c>
      <c r="M52" s="0">
        <f>ROUND(L52/1.11, 2)</f>
        <v/>
      </c>
      <c r="N52" s="0">
        <f>SUM(P52:CD52)</f>
        <v/>
      </c>
      <c r="O52" s="0">
        <f>COUNTIF(P52:CD52,"&gt;0")</f>
        <v/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</row>
    <row r="53" spans="1:82">
      <c r="A53" s="0">
        <v>51</v>
      </c>
      <c r="B53" s="0" t="inlineStr">
        <is>
          <t>2026-07-04</t>
        </is>
      </c>
      <c r="C53" s="0" t="inlineStr">
        <is>
          <t>71306763</t>
        </is>
      </c>
      <c r="D53" s="0" t="inlineStr">
        <is>
          <t>SMBL-01</t>
        </is>
      </c>
      <c r="E53" s="0" t="inlineStr">
        <is>
          <t>(1881588818)JELITA TOKO</t>
        </is>
      </c>
      <c r="F53" s="0" t="inlineStr">
        <is>
          <t>WARUNG NOO</t>
        </is>
      </c>
      <c r="G53" s="0" t="inlineStr">
        <is>
          <t>WARUNG NOO</t>
        </is>
      </c>
      <c r="H53" s="0" t="inlineStr">
        <is>
          <t>Consignment</t>
        </is>
      </c>
      <c r="J53" s="0">
        <v>10</v>
      </c>
      <c r="K53" s="0">
        <f>(P2*P53)+(Q2*Q53)+(R2*R53)+(S2*S53)+(T2*T53)+(U2*U53)+(V2*V53)+(W2*W53)+(X2*X53)+(Y2*Y53)+(Z2*Z53)+(AA2*AA53)+(AB2*AB53)+(AC2*AC53)+(AD2*AD53)+(AE2*AE53)+(AF2*AF53)+(AG2*AG53)+(AH2*AH53)+(AI2*AI53)+(AJ2*AJ53)+(AK2*AK53)+(AL2*AL53)+(AM2*AM53)+(AN2*AN53)+(AO2*AO53)+(AP2*AP53)+(AQ2*AQ53)+(AR2*AR53)+(AS2*AS53)+(AT2*AT53)+(AU2*AU53)+(AV2*AV53)+(AW2*AW53)+(AX2*AX53)+(AY2*AY53)+(AZ2*AZ53)+(BA2*BA53)+(BB2*BB53)+(BC2*BC53)+(BD2*BD53)+(BE2*BE53)+(BF2*BF53)+(BG2*BG53)+(BH2*BH53)+(BI2*BI53)+(BJ2*BJ53)+(BK2*BK53)+(BL2*BL53)+(BM2*BM53)+(BN2*BN53)+(BO2*BO53)+(BP2*BP53)+(BQ2*BQ53)+(BR2*BR53)+(BS2*BS53)+(BT2*BT53)+(BU2*BU53)+(BV2*BV53)+(BW2*BW53)+(BX2*BX53)+(BY2*BY53)+(BZ2*BZ53)+(CA2*CA53)+(CB2*CB53)+(CC2*CC53)+(CD2*CD53)</f>
        <v/>
      </c>
      <c r="L53" s="0">
        <f>K53-(K53*J53/100)</f>
        <v/>
      </c>
      <c r="M53" s="0">
        <f>ROUND(L53/1.11, 2)</f>
        <v/>
      </c>
      <c r="N53" s="0">
        <f>SUM(P53:CD53)</f>
        <v/>
      </c>
      <c r="O53" s="0">
        <f>COUNTIF(P53:CD53,"&gt;0")</f>
        <v/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</row>
    <row r="54" spans="1:82">
      <c r="A54" s="0">
        <v>52</v>
      </c>
      <c r="B54" s="0" t="inlineStr">
        <is>
          <t>2026-07-04</t>
        </is>
      </c>
      <c r="C54" s="0" t="inlineStr">
        <is>
          <t>71306763</t>
        </is>
      </c>
      <c r="D54" s="0" t="inlineStr">
        <is>
          <t>SMBL-01</t>
        </is>
      </c>
      <c r="E54" s="0" t="inlineStr">
        <is>
          <t>(1881589654)AMBARI TOKO</t>
        </is>
      </c>
      <c r="F54" s="0" t="inlineStr">
        <is>
          <t>WARUNG NOO</t>
        </is>
      </c>
      <c r="G54" s="0" t="inlineStr">
        <is>
          <t>WARUNG NOO</t>
        </is>
      </c>
      <c r="H54" s="0" t="inlineStr">
        <is>
          <t>Consignment</t>
        </is>
      </c>
      <c r="J54" s="0">
        <v>10</v>
      </c>
      <c r="K54" s="0">
        <f>(P2*P54)+(Q2*Q54)+(R2*R54)+(S2*S54)+(T2*T54)+(U2*U54)+(V2*V54)+(W2*W54)+(X2*X54)+(Y2*Y54)+(Z2*Z54)+(AA2*AA54)+(AB2*AB54)+(AC2*AC54)+(AD2*AD54)+(AE2*AE54)+(AF2*AF54)+(AG2*AG54)+(AH2*AH54)+(AI2*AI54)+(AJ2*AJ54)+(AK2*AK54)+(AL2*AL54)+(AM2*AM54)+(AN2*AN54)+(AO2*AO54)+(AP2*AP54)+(AQ2*AQ54)+(AR2*AR54)+(AS2*AS54)+(AT2*AT54)+(AU2*AU54)+(AV2*AV54)+(AW2*AW54)+(AX2*AX54)+(AY2*AY54)+(AZ2*AZ54)+(BA2*BA54)+(BB2*BB54)+(BC2*BC54)+(BD2*BD54)+(BE2*BE54)+(BF2*BF54)+(BG2*BG54)+(BH2*BH54)+(BI2*BI54)+(BJ2*BJ54)+(BK2*BK54)+(BL2*BL54)+(BM2*BM54)+(BN2*BN54)+(BO2*BO54)+(BP2*BP54)+(BQ2*BQ54)+(BR2*BR54)+(BS2*BS54)+(BT2*BT54)+(BU2*BU54)+(BV2*BV54)+(BW2*BW54)+(BX2*BX54)+(BY2*BY54)+(BZ2*BZ54)+(CA2*CA54)+(CB2*CB54)+(CC2*CC54)+(CD2*CD54)</f>
        <v/>
      </c>
      <c r="L54" s="0">
        <f>K54-(K54*J54/100)</f>
        <v/>
      </c>
      <c r="M54" s="0">
        <f>ROUND(L54/1.11, 2)</f>
        <v/>
      </c>
      <c r="N54" s="0">
        <f>SUM(P54:CD54)</f>
        <v/>
      </c>
      <c r="O54" s="0">
        <f>COUNTIF(P54:CD54,"&gt;0")</f>
        <v/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</row>
    <row r="55" spans="1:82">
      <c r="A55" s="0">
        <v>53</v>
      </c>
      <c r="B55" s="0" t="inlineStr">
        <is>
          <t>2026-07-04</t>
        </is>
      </c>
      <c r="C55" s="0" t="inlineStr">
        <is>
          <t>71306763</t>
        </is>
      </c>
      <c r="D55" s="0" t="inlineStr">
        <is>
          <t>SMBL-01</t>
        </is>
      </c>
      <c r="E55" s="0" t="inlineStr">
        <is>
          <t>(1881589748)FEBY NASUTION TOKO</t>
        </is>
      </c>
      <c r="F55" s="0" t="inlineStr">
        <is>
          <t>WARUNG NOO</t>
        </is>
      </c>
      <c r="G55" s="0" t="inlineStr">
        <is>
          <t>WARUNG NOO</t>
        </is>
      </c>
      <c r="H55" s="0" t="inlineStr">
        <is>
          <t>Consignment</t>
        </is>
      </c>
      <c r="J55" s="0">
        <v>10</v>
      </c>
      <c r="K55" s="0">
        <f>(P2*P55)+(Q2*Q55)+(R2*R55)+(S2*S55)+(T2*T55)+(U2*U55)+(V2*V55)+(W2*W55)+(X2*X55)+(Y2*Y55)+(Z2*Z55)+(AA2*AA55)+(AB2*AB55)+(AC2*AC55)+(AD2*AD55)+(AE2*AE55)+(AF2*AF55)+(AG2*AG55)+(AH2*AH55)+(AI2*AI55)+(AJ2*AJ55)+(AK2*AK55)+(AL2*AL55)+(AM2*AM55)+(AN2*AN55)+(AO2*AO55)+(AP2*AP55)+(AQ2*AQ55)+(AR2*AR55)+(AS2*AS55)+(AT2*AT55)+(AU2*AU55)+(AV2*AV55)+(AW2*AW55)+(AX2*AX55)+(AY2*AY55)+(AZ2*AZ55)+(BA2*BA55)+(BB2*BB55)+(BC2*BC55)+(BD2*BD55)+(BE2*BE55)+(BF2*BF55)+(BG2*BG55)+(BH2*BH55)+(BI2*BI55)+(BJ2*BJ55)+(BK2*BK55)+(BL2*BL55)+(BM2*BM55)+(BN2*BN55)+(BO2*BO55)+(BP2*BP55)+(BQ2*BQ55)+(BR2*BR55)+(BS2*BS55)+(BT2*BT55)+(BU2*BU55)+(BV2*BV55)+(BW2*BW55)+(BX2*BX55)+(BY2*BY55)+(BZ2*BZ55)+(CA2*CA55)+(CB2*CB55)+(CC2*CC55)+(CD2*CD55)</f>
        <v/>
      </c>
      <c r="L55" s="0">
        <f>K55-(K55*J55/100)</f>
        <v/>
      </c>
      <c r="M55" s="0">
        <f>ROUND(L55/1.11, 2)</f>
        <v/>
      </c>
      <c r="N55" s="0">
        <f>SUM(P55:CD55)</f>
        <v/>
      </c>
      <c r="O55" s="0">
        <f>COUNTIF(P55:CD55,"&gt;0")</f>
        <v/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</row>
    <row r="56" spans="1:82">
      <c r="A56" s="0">
        <v>54</v>
      </c>
      <c r="B56" s="0" t="inlineStr">
        <is>
          <t>2026-07-04</t>
        </is>
      </c>
      <c r="C56" s="0" t="inlineStr">
        <is>
          <t>71306763</t>
        </is>
      </c>
      <c r="D56" s="0" t="inlineStr">
        <is>
          <t>SMBL-01</t>
        </is>
      </c>
      <c r="E56" s="0" t="inlineStr">
        <is>
          <t>(1881589749)TOKO NUSANTARA 57</t>
        </is>
      </c>
      <c r="F56" s="0" t="inlineStr">
        <is>
          <t>WARUNG NOO</t>
        </is>
      </c>
      <c r="G56" s="0" t="inlineStr">
        <is>
          <t>WARUNG NOO</t>
        </is>
      </c>
      <c r="H56" s="0" t="inlineStr">
        <is>
          <t>Consignment</t>
        </is>
      </c>
      <c r="J56" s="0">
        <v>10</v>
      </c>
      <c r="K56" s="0">
        <f>(P2*P56)+(Q2*Q56)+(R2*R56)+(S2*S56)+(T2*T56)+(U2*U56)+(V2*V56)+(W2*W56)+(X2*X56)+(Y2*Y56)+(Z2*Z56)+(AA2*AA56)+(AB2*AB56)+(AC2*AC56)+(AD2*AD56)+(AE2*AE56)+(AF2*AF56)+(AG2*AG56)+(AH2*AH56)+(AI2*AI56)+(AJ2*AJ56)+(AK2*AK56)+(AL2*AL56)+(AM2*AM56)+(AN2*AN56)+(AO2*AO56)+(AP2*AP56)+(AQ2*AQ56)+(AR2*AR56)+(AS2*AS56)+(AT2*AT56)+(AU2*AU56)+(AV2*AV56)+(AW2*AW56)+(AX2*AX56)+(AY2*AY56)+(AZ2*AZ56)+(BA2*BA56)+(BB2*BB56)+(BC2*BC56)+(BD2*BD56)+(BE2*BE56)+(BF2*BF56)+(BG2*BG56)+(BH2*BH56)+(BI2*BI56)+(BJ2*BJ56)+(BK2*BK56)+(BL2*BL56)+(BM2*BM56)+(BN2*BN56)+(BO2*BO56)+(BP2*BP56)+(BQ2*BQ56)+(BR2*BR56)+(BS2*BS56)+(BT2*BT56)+(BU2*BU56)+(BV2*BV56)+(BW2*BW56)+(BX2*BX56)+(BY2*BY56)+(BZ2*BZ56)+(CA2*CA56)+(CB2*CB56)+(CC2*CC56)+(CD2*CD56)</f>
        <v/>
      </c>
      <c r="L56" s="0">
        <f>K56-(K56*J56/100)</f>
        <v/>
      </c>
      <c r="M56" s="0">
        <f>ROUND(L56/1.11, 2)</f>
        <v/>
      </c>
      <c r="N56" s="0">
        <f>SUM(P56:CD56)</f>
        <v/>
      </c>
      <c r="O56" s="0">
        <f>COUNTIF(P56:CD56,"&gt;0")</f>
        <v/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</row>
    <row r="57" spans="1:82">
      <c r="A57" s="0">
        <v>55</v>
      </c>
      <c r="B57" s="0" t="inlineStr">
        <is>
          <t>2026-07-04</t>
        </is>
      </c>
      <c r="C57" s="0" t="inlineStr">
        <is>
          <t>71306763</t>
        </is>
      </c>
      <c r="D57" s="0" t="inlineStr">
        <is>
          <t>SMBL-01</t>
        </is>
      </c>
      <c r="E57" s="0" t="inlineStr">
        <is>
          <t>(1881589750)TOKO KJI MART</t>
        </is>
      </c>
      <c r="F57" s="0" t="inlineStr">
        <is>
          <t>WARUNG NOO</t>
        </is>
      </c>
      <c r="G57" s="0" t="inlineStr">
        <is>
          <t>WARUNG NOO</t>
        </is>
      </c>
      <c r="H57" s="0" t="inlineStr">
        <is>
          <t>Consignment</t>
        </is>
      </c>
      <c r="J57" s="0">
        <v>10</v>
      </c>
      <c r="K57" s="0">
        <f>(P2*P57)+(Q2*Q57)+(R2*R57)+(S2*S57)+(T2*T57)+(U2*U57)+(V2*V57)+(W2*W57)+(X2*X57)+(Y2*Y57)+(Z2*Z57)+(AA2*AA57)+(AB2*AB57)+(AC2*AC57)+(AD2*AD57)+(AE2*AE57)+(AF2*AF57)+(AG2*AG57)+(AH2*AH57)+(AI2*AI57)+(AJ2*AJ57)+(AK2*AK57)+(AL2*AL57)+(AM2*AM57)+(AN2*AN57)+(AO2*AO57)+(AP2*AP57)+(AQ2*AQ57)+(AR2*AR57)+(AS2*AS57)+(AT2*AT57)+(AU2*AU57)+(AV2*AV57)+(AW2*AW57)+(AX2*AX57)+(AY2*AY57)+(AZ2*AZ57)+(BA2*BA57)+(BB2*BB57)+(BC2*BC57)+(BD2*BD57)+(BE2*BE57)+(BF2*BF57)+(BG2*BG57)+(BH2*BH57)+(BI2*BI57)+(BJ2*BJ57)+(BK2*BK57)+(BL2*BL57)+(BM2*BM57)+(BN2*BN57)+(BO2*BO57)+(BP2*BP57)+(BQ2*BQ57)+(BR2*BR57)+(BS2*BS57)+(BT2*BT57)+(BU2*BU57)+(BV2*BV57)+(BW2*BW57)+(BX2*BX57)+(BY2*BY57)+(BZ2*BZ57)+(CA2*CA57)+(CB2*CB57)+(CC2*CC57)+(CD2*CD57)</f>
        <v/>
      </c>
      <c r="L57" s="0">
        <f>K57-(K57*J57/100)</f>
        <v/>
      </c>
      <c r="M57" s="0">
        <f>ROUND(L57/1.11, 2)</f>
        <v/>
      </c>
      <c r="N57" s="0">
        <f>SUM(P57:CD57)</f>
        <v/>
      </c>
      <c r="O57" s="0">
        <f>COUNTIF(P57:CD57,"&gt;0")</f>
        <v/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</row>
    <row r="58" spans="1:82">
      <c r="A58" s="0">
        <v>56</v>
      </c>
      <c r="B58" s="0" t="inlineStr">
        <is>
          <t>2026-07-04</t>
        </is>
      </c>
      <c r="C58" s="0" t="inlineStr">
        <is>
          <t>71306763</t>
        </is>
      </c>
      <c r="D58" s="0" t="inlineStr">
        <is>
          <t>SMBL-01</t>
        </is>
      </c>
      <c r="E58" s="0" t="inlineStr">
        <is>
          <t>(1881589751)TOKO CHANDRA KENCANA</t>
        </is>
      </c>
      <c r="F58" s="0" t="inlineStr">
        <is>
          <t>WARUNG NOO</t>
        </is>
      </c>
      <c r="G58" s="0" t="inlineStr">
        <is>
          <t>WARUNG NOO</t>
        </is>
      </c>
      <c r="H58" s="0" t="inlineStr">
        <is>
          <t>Consignment</t>
        </is>
      </c>
      <c r="J58" s="0">
        <v>10</v>
      </c>
      <c r="K58" s="0">
        <f>(P2*P58)+(Q2*Q58)+(R2*R58)+(S2*S58)+(T2*T58)+(U2*U58)+(V2*V58)+(W2*W58)+(X2*X58)+(Y2*Y58)+(Z2*Z58)+(AA2*AA58)+(AB2*AB58)+(AC2*AC58)+(AD2*AD58)+(AE2*AE58)+(AF2*AF58)+(AG2*AG58)+(AH2*AH58)+(AI2*AI58)+(AJ2*AJ58)+(AK2*AK58)+(AL2*AL58)+(AM2*AM58)+(AN2*AN58)+(AO2*AO58)+(AP2*AP58)+(AQ2*AQ58)+(AR2*AR58)+(AS2*AS58)+(AT2*AT58)+(AU2*AU58)+(AV2*AV58)+(AW2*AW58)+(AX2*AX58)+(AY2*AY58)+(AZ2*AZ58)+(BA2*BA58)+(BB2*BB58)+(BC2*BC58)+(BD2*BD58)+(BE2*BE58)+(BF2*BF58)+(BG2*BG58)+(BH2*BH58)+(BI2*BI58)+(BJ2*BJ58)+(BK2*BK58)+(BL2*BL58)+(BM2*BM58)+(BN2*BN58)+(BO2*BO58)+(BP2*BP58)+(BQ2*BQ58)+(BR2*BR58)+(BS2*BS58)+(BT2*BT58)+(BU2*BU58)+(BV2*BV58)+(BW2*BW58)+(BX2*BX58)+(BY2*BY58)+(BZ2*BZ58)+(CA2*CA58)+(CB2*CB58)+(CC2*CC58)+(CD2*CD58)</f>
        <v/>
      </c>
      <c r="L58" s="0">
        <f>K58-(K58*J58/100)</f>
        <v/>
      </c>
      <c r="M58" s="0">
        <f>ROUND(L58/1.11, 2)</f>
        <v/>
      </c>
      <c r="N58" s="0">
        <f>SUM(P58:CD58)</f>
        <v/>
      </c>
      <c r="O58" s="0">
        <f>COUNTIF(P58:CD58,"&gt;0")</f>
        <v/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</row>
    <row r="59" spans="1:82">
      <c r="A59" s="0">
        <v>57</v>
      </c>
      <c r="B59" s="0" t="inlineStr">
        <is>
          <t>2026-07-04</t>
        </is>
      </c>
      <c r="C59" s="0" t="inlineStr">
        <is>
          <t>71306764</t>
        </is>
      </c>
      <c r="D59" s="0" t="inlineStr">
        <is>
          <t>SMTR-03</t>
        </is>
      </c>
      <c r="E59" s="0" t="inlineStr">
        <is>
          <t>(1881578430)NAURA TOKO</t>
        </is>
      </c>
      <c r="F59" s="0" t="inlineStr">
        <is>
          <t>WARUNG NOO</t>
        </is>
      </c>
      <c r="G59" s="0" t="inlineStr">
        <is>
          <t>WARUNG NOO</t>
        </is>
      </c>
      <c r="H59" s="0" t="inlineStr">
        <is>
          <t>Consignment</t>
        </is>
      </c>
      <c r="J59" s="0">
        <v>10</v>
      </c>
      <c r="K59" s="0">
        <f>(P2*P59)+(Q2*Q59)+(R2*R59)+(S2*S59)+(T2*T59)+(U2*U59)+(V2*V59)+(W2*W59)+(X2*X59)+(Y2*Y59)+(Z2*Z59)+(AA2*AA59)+(AB2*AB59)+(AC2*AC59)+(AD2*AD59)+(AE2*AE59)+(AF2*AF59)+(AG2*AG59)+(AH2*AH59)+(AI2*AI59)+(AJ2*AJ59)+(AK2*AK59)+(AL2*AL59)+(AM2*AM59)+(AN2*AN59)+(AO2*AO59)+(AP2*AP59)+(AQ2*AQ59)+(AR2*AR59)+(AS2*AS59)+(AT2*AT59)+(AU2*AU59)+(AV2*AV59)+(AW2*AW59)+(AX2*AX59)+(AY2*AY59)+(AZ2*AZ59)+(BA2*BA59)+(BB2*BB59)+(BC2*BC59)+(BD2*BD59)+(BE2*BE59)+(BF2*BF59)+(BG2*BG59)+(BH2*BH59)+(BI2*BI59)+(BJ2*BJ59)+(BK2*BK59)+(BL2*BL59)+(BM2*BM59)+(BN2*BN59)+(BO2*BO59)+(BP2*BP59)+(BQ2*BQ59)+(BR2*BR59)+(BS2*BS59)+(BT2*BT59)+(BU2*BU59)+(BV2*BV59)+(BW2*BW59)+(BX2*BX59)+(BY2*BY59)+(BZ2*BZ59)+(CA2*CA59)+(CB2*CB59)+(CC2*CC59)+(CD2*CD59)</f>
        <v/>
      </c>
      <c r="L59" s="0">
        <f>K59-(K59*J59/100)</f>
        <v/>
      </c>
      <c r="M59" s="0">
        <f>ROUND(L59/1.11, 2)</f>
        <v/>
      </c>
      <c r="N59" s="0">
        <f>SUM(P59:CD59)</f>
        <v/>
      </c>
      <c r="O59" s="0">
        <f>COUNTIF(P59:CD59,"&gt;0")</f>
        <v/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</row>
    <row r="60" spans="1:82">
      <c r="A60" s="0">
        <v>58</v>
      </c>
      <c r="B60" s="0" t="inlineStr">
        <is>
          <t>2026-07-04</t>
        </is>
      </c>
      <c r="C60" s="0" t="inlineStr">
        <is>
          <t>71306764</t>
        </is>
      </c>
      <c r="D60" s="0" t="inlineStr">
        <is>
          <t>SMTR-03</t>
        </is>
      </c>
      <c r="E60" s="0" t="inlineStr">
        <is>
          <t>(1881578431)AMIN RANGKUTI TOKO</t>
        </is>
      </c>
      <c r="F60" s="0" t="inlineStr">
        <is>
          <t>WARUNG NOO</t>
        </is>
      </c>
      <c r="G60" s="0" t="inlineStr">
        <is>
          <t>WARUNG NOO</t>
        </is>
      </c>
      <c r="H60" s="0" t="inlineStr">
        <is>
          <t>Consignment</t>
        </is>
      </c>
      <c r="J60" s="0">
        <v>10</v>
      </c>
      <c r="K60" s="0">
        <f>(P2*P60)+(Q2*Q60)+(R2*R60)+(S2*S60)+(T2*T60)+(U2*U60)+(V2*V60)+(W2*W60)+(X2*X60)+(Y2*Y60)+(Z2*Z60)+(AA2*AA60)+(AB2*AB60)+(AC2*AC60)+(AD2*AD60)+(AE2*AE60)+(AF2*AF60)+(AG2*AG60)+(AH2*AH60)+(AI2*AI60)+(AJ2*AJ60)+(AK2*AK60)+(AL2*AL60)+(AM2*AM60)+(AN2*AN60)+(AO2*AO60)+(AP2*AP60)+(AQ2*AQ60)+(AR2*AR60)+(AS2*AS60)+(AT2*AT60)+(AU2*AU60)+(AV2*AV60)+(AW2*AW60)+(AX2*AX60)+(AY2*AY60)+(AZ2*AZ60)+(BA2*BA60)+(BB2*BB60)+(BC2*BC60)+(BD2*BD60)+(BE2*BE60)+(BF2*BF60)+(BG2*BG60)+(BH2*BH60)+(BI2*BI60)+(BJ2*BJ60)+(BK2*BK60)+(BL2*BL60)+(BM2*BM60)+(BN2*BN60)+(BO2*BO60)+(BP2*BP60)+(BQ2*BQ60)+(BR2*BR60)+(BS2*BS60)+(BT2*BT60)+(BU2*BU60)+(BV2*BV60)+(BW2*BW60)+(BX2*BX60)+(BY2*BY60)+(BZ2*BZ60)+(CA2*CA60)+(CB2*CB60)+(CC2*CC60)+(CD2*CD60)</f>
        <v/>
      </c>
      <c r="L60" s="0">
        <f>K60-(K60*J60/100)</f>
        <v/>
      </c>
      <c r="M60" s="0">
        <f>ROUND(L60/1.11, 2)</f>
        <v/>
      </c>
      <c r="N60" s="0">
        <f>SUM(P60:CD60)</f>
        <v/>
      </c>
      <c r="O60" s="0">
        <f>COUNTIF(P60:CD60,"&gt;0")</f>
        <v/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</row>
    <row r="61" spans="1:82">
      <c r="A61" s="0">
        <v>59</v>
      </c>
      <c r="B61" s="0" t="inlineStr">
        <is>
          <t>2026-07-04</t>
        </is>
      </c>
      <c r="C61" s="0" t="inlineStr">
        <is>
          <t>71306764</t>
        </is>
      </c>
      <c r="D61" s="0" t="inlineStr">
        <is>
          <t>SMTR-03</t>
        </is>
      </c>
      <c r="E61" s="0" t="inlineStr">
        <is>
          <t>(1881578433)EVA TOKO</t>
        </is>
      </c>
      <c r="F61" s="0" t="inlineStr">
        <is>
          <t>WARUNG NOO</t>
        </is>
      </c>
      <c r="G61" s="0" t="inlineStr">
        <is>
          <t>WARUNG NOO</t>
        </is>
      </c>
      <c r="H61" s="0" t="inlineStr">
        <is>
          <t>Consignment</t>
        </is>
      </c>
      <c r="J61" s="0">
        <v>10</v>
      </c>
      <c r="K61" s="0">
        <f>(P2*P61)+(Q2*Q61)+(R2*R61)+(S2*S61)+(T2*T61)+(U2*U61)+(V2*V61)+(W2*W61)+(X2*X61)+(Y2*Y61)+(Z2*Z61)+(AA2*AA61)+(AB2*AB61)+(AC2*AC61)+(AD2*AD61)+(AE2*AE61)+(AF2*AF61)+(AG2*AG61)+(AH2*AH61)+(AI2*AI61)+(AJ2*AJ61)+(AK2*AK61)+(AL2*AL61)+(AM2*AM61)+(AN2*AN61)+(AO2*AO61)+(AP2*AP61)+(AQ2*AQ61)+(AR2*AR61)+(AS2*AS61)+(AT2*AT61)+(AU2*AU61)+(AV2*AV61)+(AW2*AW61)+(AX2*AX61)+(AY2*AY61)+(AZ2*AZ61)+(BA2*BA61)+(BB2*BB61)+(BC2*BC61)+(BD2*BD61)+(BE2*BE61)+(BF2*BF61)+(BG2*BG61)+(BH2*BH61)+(BI2*BI61)+(BJ2*BJ61)+(BK2*BK61)+(BL2*BL61)+(BM2*BM61)+(BN2*BN61)+(BO2*BO61)+(BP2*BP61)+(BQ2*BQ61)+(BR2*BR61)+(BS2*BS61)+(BT2*BT61)+(BU2*BU61)+(BV2*BV61)+(BW2*BW61)+(BX2*BX61)+(BY2*BY61)+(BZ2*BZ61)+(CA2*CA61)+(CB2*CB61)+(CC2*CC61)+(CD2*CD61)</f>
        <v/>
      </c>
      <c r="L61" s="0">
        <f>K61-(K61*J61/100)</f>
        <v/>
      </c>
      <c r="M61" s="0">
        <f>ROUND(L61/1.11, 2)</f>
        <v/>
      </c>
      <c r="N61" s="0">
        <f>SUM(P61:CD61)</f>
        <v/>
      </c>
      <c r="O61" s="0">
        <f>COUNTIF(P61:CD61,"&gt;0")</f>
        <v/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</row>
    <row r="62" spans="1:82">
      <c r="A62" s="0">
        <v>60</v>
      </c>
      <c r="B62" s="0" t="inlineStr">
        <is>
          <t>2026-07-04</t>
        </is>
      </c>
      <c r="C62" s="0" t="inlineStr">
        <is>
          <t>71306764</t>
        </is>
      </c>
      <c r="D62" s="0" t="inlineStr">
        <is>
          <t>SMTR-03</t>
        </is>
      </c>
      <c r="E62" s="0" t="inlineStr">
        <is>
          <t>(1881578434)RITONGA TOKO</t>
        </is>
      </c>
      <c r="F62" s="0" t="inlineStr">
        <is>
          <t>WARUNG NOO</t>
        </is>
      </c>
      <c r="G62" s="0" t="inlineStr">
        <is>
          <t>WARUNG NOO</t>
        </is>
      </c>
      <c r="H62" s="0" t="inlineStr">
        <is>
          <t>Consignment</t>
        </is>
      </c>
      <c r="J62" s="0">
        <v>10</v>
      </c>
      <c r="K62" s="0">
        <f>(P2*P62)+(Q2*Q62)+(R2*R62)+(S2*S62)+(T2*T62)+(U2*U62)+(V2*V62)+(W2*W62)+(X2*X62)+(Y2*Y62)+(Z2*Z62)+(AA2*AA62)+(AB2*AB62)+(AC2*AC62)+(AD2*AD62)+(AE2*AE62)+(AF2*AF62)+(AG2*AG62)+(AH2*AH62)+(AI2*AI62)+(AJ2*AJ62)+(AK2*AK62)+(AL2*AL62)+(AM2*AM62)+(AN2*AN62)+(AO2*AO62)+(AP2*AP62)+(AQ2*AQ62)+(AR2*AR62)+(AS2*AS62)+(AT2*AT62)+(AU2*AU62)+(AV2*AV62)+(AW2*AW62)+(AX2*AX62)+(AY2*AY62)+(AZ2*AZ62)+(BA2*BA62)+(BB2*BB62)+(BC2*BC62)+(BD2*BD62)+(BE2*BE62)+(BF2*BF62)+(BG2*BG62)+(BH2*BH62)+(BI2*BI62)+(BJ2*BJ62)+(BK2*BK62)+(BL2*BL62)+(BM2*BM62)+(BN2*BN62)+(BO2*BO62)+(BP2*BP62)+(BQ2*BQ62)+(BR2*BR62)+(BS2*BS62)+(BT2*BT62)+(BU2*BU62)+(BV2*BV62)+(BW2*BW62)+(BX2*BX62)+(BY2*BY62)+(BZ2*BZ62)+(CA2*CA62)+(CB2*CB62)+(CC2*CC62)+(CD2*CD62)</f>
        <v/>
      </c>
      <c r="L62" s="0">
        <f>K62-(K62*J62/100)</f>
        <v/>
      </c>
      <c r="M62" s="0">
        <f>ROUND(L62/1.11, 2)</f>
        <v/>
      </c>
      <c r="N62" s="0">
        <f>SUM(P62:CD62)</f>
        <v/>
      </c>
      <c r="O62" s="0">
        <f>COUNTIF(P62:CD62,"&gt;0")</f>
        <v/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</row>
    <row r="63" spans="1:82">
      <c r="A63" s="0">
        <v>61</v>
      </c>
      <c r="B63" s="0" t="inlineStr">
        <is>
          <t>2026-07-04</t>
        </is>
      </c>
      <c r="C63" s="0" t="inlineStr">
        <is>
          <t>71306764</t>
        </is>
      </c>
      <c r="D63" s="0" t="inlineStr">
        <is>
          <t>SMTR-03</t>
        </is>
      </c>
      <c r="E63" s="0" t="inlineStr">
        <is>
          <t>(1881578435)DELIMA TOKO</t>
        </is>
      </c>
      <c r="F63" s="0" t="inlineStr">
        <is>
          <t>WARUNG NOO</t>
        </is>
      </c>
      <c r="G63" s="0" t="inlineStr">
        <is>
          <t>WARUNG NOO</t>
        </is>
      </c>
      <c r="H63" s="0" t="inlineStr">
        <is>
          <t>Consignment</t>
        </is>
      </c>
      <c r="J63" s="0">
        <v>10</v>
      </c>
      <c r="K63" s="0">
        <f>(P2*P63)+(Q2*Q63)+(R2*R63)+(S2*S63)+(T2*T63)+(U2*U63)+(V2*V63)+(W2*W63)+(X2*X63)+(Y2*Y63)+(Z2*Z63)+(AA2*AA63)+(AB2*AB63)+(AC2*AC63)+(AD2*AD63)+(AE2*AE63)+(AF2*AF63)+(AG2*AG63)+(AH2*AH63)+(AI2*AI63)+(AJ2*AJ63)+(AK2*AK63)+(AL2*AL63)+(AM2*AM63)+(AN2*AN63)+(AO2*AO63)+(AP2*AP63)+(AQ2*AQ63)+(AR2*AR63)+(AS2*AS63)+(AT2*AT63)+(AU2*AU63)+(AV2*AV63)+(AW2*AW63)+(AX2*AX63)+(AY2*AY63)+(AZ2*AZ63)+(BA2*BA63)+(BB2*BB63)+(BC2*BC63)+(BD2*BD63)+(BE2*BE63)+(BF2*BF63)+(BG2*BG63)+(BH2*BH63)+(BI2*BI63)+(BJ2*BJ63)+(BK2*BK63)+(BL2*BL63)+(BM2*BM63)+(BN2*BN63)+(BO2*BO63)+(BP2*BP63)+(BQ2*BQ63)+(BR2*BR63)+(BS2*BS63)+(BT2*BT63)+(BU2*BU63)+(BV2*BV63)+(BW2*BW63)+(BX2*BX63)+(BY2*BY63)+(BZ2*BZ63)+(CA2*CA63)+(CB2*CB63)+(CC2*CC63)+(CD2*CD63)</f>
        <v/>
      </c>
      <c r="L63" s="0">
        <f>K63-(K63*J63/100)</f>
        <v/>
      </c>
      <c r="M63" s="0">
        <f>ROUND(L63/1.11, 2)</f>
        <v/>
      </c>
      <c r="N63" s="0">
        <f>SUM(P63:CD63)</f>
        <v/>
      </c>
      <c r="O63" s="0">
        <f>COUNTIF(P63:CD63,"&gt;0")</f>
        <v/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</row>
    <row r="64" spans="1:82">
      <c r="A64" s="0">
        <v>62</v>
      </c>
      <c r="B64" s="0" t="inlineStr">
        <is>
          <t>2026-07-04</t>
        </is>
      </c>
      <c r="C64" s="0" t="inlineStr">
        <is>
          <t>71306764</t>
        </is>
      </c>
      <c r="D64" s="0" t="inlineStr">
        <is>
          <t>SMTR-03</t>
        </is>
      </c>
      <c r="E64" s="0" t="inlineStr">
        <is>
          <t>(1881578436)MAISAH TOKO</t>
        </is>
      </c>
      <c r="F64" s="0" t="inlineStr">
        <is>
          <t>WARUNG NOO</t>
        </is>
      </c>
      <c r="G64" s="0" t="inlineStr">
        <is>
          <t>WARUNG NOO</t>
        </is>
      </c>
      <c r="H64" s="0" t="inlineStr">
        <is>
          <t>Consignment</t>
        </is>
      </c>
      <c r="J64" s="0">
        <v>10</v>
      </c>
      <c r="K64" s="0">
        <f>(P2*P64)+(Q2*Q64)+(R2*R64)+(S2*S64)+(T2*T64)+(U2*U64)+(V2*V64)+(W2*W64)+(X2*X64)+(Y2*Y64)+(Z2*Z64)+(AA2*AA64)+(AB2*AB64)+(AC2*AC64)+(AD2*AD64)+(AE2*AE64)+(AF2*AF64)+(AG2*AG64)+(AH2*AH64)+(AI2*AI64)+(AJ2*AJ64)+(AK2*AK64)+(AL2*AL64)+(AM2*AM64)+(AN2*AN64)+(AO2*AO64)+(AP2*AP64)+(AQ2*AQ64)+(AR2*AR64)+(AS2*AS64)+(AT2*AT64)+(AU2*AU64)+(AV2*AV64)+(AW2*AW64)+(AX2*AX64)+(AY2*AY64)+(AZ2*AZ64)+(BA2*BA64)+(BB2*BB64)+(BC2*BC64)+(BD2*BD64)+(BE2*BE64)+(BF2*BF64)+(BG2*BG64)+(BH2*BH64)+(BI2*BI64)+(BJ2*BJ64)+(BK2*BK64)+(BL2*BL64)+(BM2*BM64)+(BN2*BN64)+(BO2*BO64)+(BP2*BP64)+(BQ2*BQ64)+(BR2*BR64)+(BS2*BS64)+(BT2*BT64)+(BU2*BU64)+(BV2*BV64)+(BW2*BW64)+(BX2*BX64)+(BY2*BY64)+(BZ2*BZ64)+(CA2*CA64)+(CB2*CB64)+(CC2*CC64)+(CD2*CD64)</f>
        <v/>
      </c>
      <c r="L64" s="0">
        <f>K64-(K64*J64/100)</f>
        <v/>
      </c>
      <c r="M64" s="0">
        <f>ROUND(L64/1.11, 2)</f>
        <v/>
      </c>
      <c r="N64" s="0">
        <f>SUM(P64:CD64)</f>
        <v/>
      </c>
      <c r="O64" s="0">
        <f>COUNTIF(P64:CD64,"&gt;0")</f>
        <v/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</row>
    <row r="65" spans="1:82">
      <c r="A65" s="0">
        <v>63</v>
      </c>
      <c r="B65" s="0" t="inlineStr">
        <is>
          <t>2026-07-04</t>
        </is>
      </c>
      <c r="C65" s="0" t="inlineStr">
        <is>
          <t>71306764</t>
        </is>
      </c>
      <c r="D65" s="0" t="inlineStr">
        <is>
          <t>SMTR-03</t>
        </is>
      </c>
      <c r="E65" s="0" t="inlineStr">
        <is>
          <t>(1881578737)MAMA APRIL TOKO</t>
        </is>
      </c>
      <c r="F65" s="0" t="inlineStr">
        <is>
          <t>WARUNG NOO</t>
        </is>
      </c>
      <c r="G65" s="0" t="inlineStr">
        <is>
          <t>WARUNG NOO</t>
        </is>
      </c>
      <c r="H65" s="0" t="inlineStr">
        <is>
          <t>Consignment</t>
        </is>
      </c>
      <c r="J65" s="0">
        <v>10</v>
      </c>
      <c r="K65" s="0">
        <f>(P2*P65)+(Q2*Q65)+(R2*R65)+(S2*S65)+(T2*T65)+(U2*U65)+(V2*V65)+(W2*W65)+(X2*X65)+(Y2*Y65)+(Z2*Z65)+(AA2*AA65)+(AB2*AB65)+(AC2*AC65)+(AD2*AD65)+(AE2*AE65)+(AF2*AF65)+(AG2*AG65)+(AH2*AH65)+(AI2*AI65)+(AJ2*AJ65)+(AK2*AK65)+(AL2*AL65)+(AM2*AM65)+(AN2*AN65)+(AO2*AO65)+(AP2*AP65)+(AQ2*AQ65)+(AR2*AR65)+(AS2*AS65)+(AT2*AT65)+(AU2*AU65)+(AV2*AV65)+(AW2*AW65)+(AX2*AX65)+(AY2*AY65)+(AZ2*AZ65)+(BA2*BA65)+(BB2*BB65)+(BC2*BC65)+(BD2*BD65)+(BE2*BE65)+(BF2*BF65)+(BG2*BG65)+(BH2*BH65)+(BI2*BI65)+(BJ2*BJ65)+(BK2*BK65)+(BL2*BL65)+(BM2*BM65)+(BN2*BN65)+(BO2*BO65)+(BP2*BP65)+(BQ2*BQ65)+(BR2*BR65)+(BS2*BS65)+(BT2*BT65)+(BU2*BU65)+(BV2*BV65)+(BW2*BW65)+(BX2*BX65)+(BY2*BY65)+(BZ2*BZ65)+(CA2*CA65)+(CB2*CB65)+(CC2*CC65)+(CD2*CD65)</f>
        <v/>
      </c>
      <c r="L65" s="0">
        <f>K65-(K65*J65/100)</f>
        <v/>
      </c>
      <c r="M65" s="0">
        <f>ROUND(L65/1.11, 2)</f>
        <v/>
      </c>
      <c r="N65" s="0">
        <f>SUM(P65:CD65)</f>
        <v/>
      </c>
      <c r="O65" s="0">
        <f>COUNTIF(P65:CD65,"&gt;0")</f>
        <v/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</row>
    <row r="66" spans="1:82">
      <c r="A66" s="0">
        <v>64</v>
      </c>
      <c r="B66" s="0" t="inlineStr">
        <is>
          <t>2026-07-04</t>
        </is>
      </c>
      <c r="C66" s="0" t="inlineStr">
        <is>
          <t>71306764</t>
        </is>
      </c>
      <c r="D66" s="0" t="inlineStr">
        <is>
          <t>SMTR-03</t>
        </is>
      </c>
      <c r="E66" s="0" t="inlineStr">
        <is>
          <t>(1881579658)TOKO ALWI</t>
        </is>
      </c>
      <c r="F66" s="0" t="inlineStr">
        <is>
          <t>WARUNG NOO</t>
        </is>
      </c>
      <c r="G66" s="0" t="inlineStr">
        <is>
          <t>WARUNG NOO</t>
        </is>
      </c>
      <c r="H66" s="0" t="inlineStr">
        <is>
          <t>Consignment</t>
        </is>
      </c>
      <c r="J66" s="0">
        <v>10</v>
      </c>
      <c r="K66" s="0">
        <f>(P2*P66)+(Q2*Q66)+(R2*R66)+(S2*S66)+(T2*T66)+(U2*U66)+(V2*V66)+(W2*W66)+(X2*X66)+(Y2*Y66)+(Z2*Z66)+(AA2*AA66)+(AB2*AB66)+(AC2*AC66)+(AD2*AD66)+(AE2*AE66)+(AF2*AF66)+(AG2*AG66)+(AH2*AH66)+(AI2*AI66)+(AJ2*AJ66)+(AK2*AK66)+(AL2*AL66)+(AM2*AM66)+(AN2*AN66)+(AO2*AO66)+(AP2*AP66)+(AQ2*AQ66)+(AR2*AR66)+(AS2*AS66)+(AT2*AT66)+(AU2*AU66)+(AV2*AV66)+(AW2*AW66)+(AX2*AX66)+(AY2*AY66)+(AZ2*AZ66)+(BA2*BA66)+(BB2*BB66)+(BC2*BC66)+(BD2*BD66)+(BE2*BE66)+(BF2*BF66)+(BG2*BG66)+(BH2*BH66)+(BI2*BI66)+(BJ2*BJ66)+(BK2*BK66)+(BL2*BL66)+(BM2*BM66)+(BN2*BN66)+(BO2*BO66)+(BP2*BP66)+(BQ2*BQ66)+(BR2*BR66)+(BS2*BS66)+(BT2*BT66)+(BU2*BU66)+(BV2*BV66)+(BW2*BW66)+(BX2*BX66)+(BY2*BY66)+(BZ2*BZ66)+(CA2*CA66)+(CB2*CB66)+(CC2*CC66)+(CD2*CD66)</f>
        <v/>
      </c>
      <c r="L66" s="0">
        <f>K66-(K66*J66/100)</f>
        <v/>
      </c>
      <c r="M66" s="0">
        <f>ROUND(L66/1.11, 2)</f>
        <v/>
      </c>
      <c r="N66" s="0">
        <f>SUM(P66:CD66)</f>
        <v/>
      </c>
      <c r="O66" s="0">
        <f>COUNTIF(P66:CD66,"&gt;0")</f>
        <v/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</row>
    <row r="67" spans="1:82">
      <c r="A67" s="0">
        <v>65</v>
      </c>
      <c r="B67" s="0" t="inlineStr">
        <is>
          <t>2026-07-04</t>
        </is>
      </c>
      <c r="C67" s="0" t="inlineStr">
        <is>
          <t>71306764</t>
        </is>
      </c>
      <c r="D67" s="0" t="inlineStr">
        <is>
          <t>SMTR-03</t>
        </is>
      </c>
      <c r="E67" s="0" t="inlineStr">
        <is>
          <t>(1881581679)TOKO SRC LANA </t>
        </is>
      </c>
      <c r="F67" s="0" t="inlineStr">
        <is>
          <t>WARUNG NOO</t>
        </is>
      </c>
      <c r="G67" s="0" t="inlineStr">
        <is>
          <t>WARUNG NOO</t>
        </is>
      </c>
      <c r="H67" s="0" t="inlineStr">
        <is>
          <t>Consignment</t>
        </is>
      </c>
      <c r="J67" s="0">
        <v>10</v>
      </c>
      <c r="K67" s="0">
        <f>(P2*P67)+(Q2*Q67)+(R2*R67)+(S2*S67)+(T2*T67)+(U2*U67)+(V2*V67)+(W2*W67)+(X2*X67)+(Y2*Y67)+(Z2*Z67)+(AA2*AA67)+(AB2*AB67)+(AC2*AC67)+(AD2*AD67)+(AE2*AE67)+(AF2*AF67)+(AG2*AG67)+(AH2*AH67)+(AI2*AI67)+(AJ2*AJ67)+(AK2*AK67)+(AL2*AL67)+(AM2*AM67)+(AN2*AN67)+(AO2*AO67)+(AP2*AP67)+(AQ2*AQ67)+(AR2*AR67)+(AS2*AS67)+(AT2*AT67)+(AU2*AU67)+(AV2*AV67)+(AW2*AW67)+(AX2*AX67)+(AY2*AY67)+(AZ2*AZ67)+(BA2*BA67)+(BB2*BB67)+(BC2*BC67)+(BD2*BD67)+(BE2*BE67)+(BF2*BF67)+(BG2*BG67)+(BH2*BH67)+(BI2*BI67)+(BJ2*BJ67)+(BK2*BK67)+(BL2*BL67)+(BM2*BM67)+(BN2*BN67)+(BO2*BO67)+(BP2*BP67)+(BQ2*BQ67)+(BR2*BR67)+(BS2*BS67)+(BT2*BT67)+(BU2*BU67)+(BV2*BV67)+(BW2*BW67)+(BX2*BX67)+(BY2*BY67)+(BZ2*BZ67)+(CA2*CA67)+(CB2*CB67)+(CC2*CC67)+(CD2*CD67)</f>
        <v/>
      </c>
      <c r="L67" s="0">
        <f>K67-(K67*J67/100)</f>
        <v/>
      </c>
      <c r="M67" s="0">
        <f>ROUND(L67/1.11, 2)</f>
        <v/>
      </c>
      <c r="N67" s="0">
        <f>SUM(P67:CD67)</f>
        <v/>
      </c>
      <c r="O67" s="0">
        <f>COUNTIF(P67:CD67,"&gt;0")</f>
        <v/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</row>
    <row r="68" spans="1:82">
      <c r="A68" s="0">
        <v>66</v>
      </c>
      <c r="B68" s="0" t="inlineStr">
        <is>
          <t>2026-07-04</t>
        </is>
      </c>
      <c r="C68" s="0" t="inlineStr">
        <is>
          <t>71306764</t>
        </is>
      </c>
      <c r="D68" s="0" t="inlineStr">
        <is>
          <t>SMTR-03</t>
        </is>
      </c>
      <c r="E68" s="0" t="inlineStr">
        <is>
          <t>(1881581681)TOKO WARUNG FARUQ</t>
        </is>
      </c>
      <c r="F68" s="0" t="inlineStr">
        <is>
          <t>WARUNG NOO</t>
        </is>
      </c>
      <c r="G68" s="0" t="inlineStr">
        <is>
          <t>WARUNG NOO</t>
        </is>
      </c>
      <c r="H68" s="0" t="inlineStr">
        <is>
          <t>Consignment</t>
        </is>
      </c>
      <c r="J68" s="0">
        <v>10</v>
      </c>
      <c r="K68" s="0">
        <f>(P2*P68)+(Q2*Q68)+(R2*R68)+(S2*S68)+(T2*T68)+(U2*U68)+(V2*V68)+(W2*W68)+(X2*X68)+(Y2*Y68)+(Z2*Z68)+(AA2*AA68)+(AB2*AB68)+(AC2*AC68)+(AD2*AD68)+(AE2*AE68)+(AF2*AF68)+(AG2*AG68)+(AH2*AH68)+(AI2*AI68)+(AJ2*AJ68)+(AK2*AK68)+(AL2*AL68)+(AM2*AM68)+(AN2*AN68)+(AO2*AO68)+(AP2*AP68)+(AQ2*AQ68)+(AR2*AR68)+(AS2*AS68)+(AT2*AT68)+(AU2*AU68)+(AV2*AV68)+(AW2*AW68)+(AX2*AX68)+(AY2*AY68)+(AZ2*AZ68)+(BA2*BA68)+(BB2*BB68)+(BC2*BC68)+(BD2*BD68)+(BE2*BE68)+(BF2*BF68)+(BG2*BG68)+(BH2*BH68)+(BI2*BI68)+(BJ2*BJ68)+(BK2*BK68)+(BL2*BL68)+(BM2*BM68)+(BN2*BN68)+(BO2*BO68)+(BP2*BP68)+(BQ2*BQ68)+(BR2*BR68)+(BS2*BS68)+(BT2*BT68)+(BU2*BU68)+(BV2*BV68)+(BW2*BW68)+(BX2*BX68)+(BY2*BY68)+(BZ2*BZ68)+(CA2*CA68)+(CB2*CB68)+(CC2*CC68)+(CD2*CD68)</f>
        <v/>
      </c>
      <c r="L68" s="0">
        <f>K68-(K68*J68/100)</f>
        <v/>
      </c>
      <c r="M68" s="0">
        <f>ROUND(L68/1.11, 2)</f>
        <v/>
      </c>
      <c r="N68" s="0">
        <f>SUM(P68:CD68)</f>
        <v/>
      </c>
      <c r="O68" s="0">
        <f>COUNTIF(P68:CD68,"&gt;0")</f>
        <v/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</row>
    <row r="69" spans="1:82">
      <c r="A69" s="0">
        <v>67</v>
      </c>
      <c r="B69" s="0" t="inlineStr">
        <is>
          <t>2026-07-04</t>
        </is>
      </c>
      <c r="C69" s="0" t="inlineStr">
        <is>
          <t>71306764</t>
        </is>
      </c>
      <c r="D69" s="0" t="inlineStr">
        <is>
          <t>SMTR-03</t>
        </is>
      </c>
      <c r="E69" s="0" t="inlineStr">
        <is>
          <t>(1881581684)TOKO HIRO</t>
        </is>
      </c>
      <c r="F69" s="0" t="inlineStr">
        <is>
          <t>WARUNG NOO</t>
        </is>
      </c>
      <c r="G69" s="0" t="inlineStr">
        <is>
          <t>WARUNG NOO</t>
        </is>
      </c>
      <c r="H69" s="0" t="inlineStr">
        <is>
          <t>Consignment</t>
        </is>
      </c>
      <c r="J69" s="0">
        <v>10</v>
      </c>
      <c r="K69" s="0">
        <f>(P2*P69)+(Q2*Q69)+(R2*R69)+(S2*S69)+(T2*T69)+(U2*U69)+(V2*V69)+(W2*W69)+(X2*X69)+(Y2*Y69)+(Z2*Z69)+(AA2*AA69)+(AB2*AB69)+(AC2*AC69)+(AD2*AD69)+(AE2*AE69)+(AF2*AF69)+(AG2*AG69)+(AH2*AH69)+(AI2*AI69)+(AJ2*AJ69)+(AK2*AK69)+(AL2*AL69)+(AM2*AM69)+(AN2*AN69)+(AO2*AO69)+(AP2*AP69)+(AQ2*AQ69)+(AR2*AR69)+(AS2*AS69)+(AT2*AT69)+(AU2*AU69)+(AV2*AV69)+(AW2*AW69)+(AX2*AX69)+(AY2*AY69)+(AZ2*AZ69)+(BA2*BA69)+(BB2*BB69)+(BC2*BC69)+(BD2*BD69)+(BE2*BE69)+(BF2*BF69)+(BG2*BG69)+(BH2*BH69)+(BI2*BI69)+(BJ2*BJ69)+(BK2*BK69)+(BL2*BL69)+(BM2*BM69)+(BN2*BN69)+(BO2*BO69)+(BP2*BP69)+(BQ2*BQ69)+(BR2*BR69)+(BS2*BS69)+(BT2*BT69)+(BU2*BU69)+(BV2*BV69)+(BW2*BW69)+(BX2*BX69)+(BY2*BY69)+(BZ2*BZ69)+(CA2*CA69)+(CB2*CB69)+(CC2*CC69)+(CD2*CD69)</f>
        <v/>
      </c>
      <c r="L69" s="0">
        <f>K69-(K69*J69/100)</f>
        <v/>
      </c>
      <c r="M69" s="0">
        <f>ROUND(L69/1.11, 2)</f>
        <v/>
      </c>
      <c r="N69" s="0">
        <f>SUM(P69:CD69)</f>
        <v/>
      </c>
      <c r="O69" s="0">
        <f>COUNTIF(P69:CD69,"&gt;0")</f>
        <v/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</row>
    <row r="70" spans="1:82">
      <c r="A70" s="0">
        <v>68</v>
      </c>
      <c r="B70" s="0" t="inlineStr">
        <is>
          <t>2026-07-04</t>
        </is>
      </c>
      <c r="C70" s="0" t="inlineStr">
        <is>
          <t>71306764</t>
        </is>
      </c>
      <c r="D70" s="0" t="inlineStr">
        <is>
          <t>SMTR-03</t>
        </is>
      </c>
      <c r="E70" s="0" t="inlineStr">
        <is>
          <t>(1881581685)TOKO HAJI JUKI</t>
        </is>
      </c>
      <c r="F70" s="0" t="inlineStr">
        <is>
          <t>WARUNG NOO</t>
        </is>
      </c>
      <c r="G70" s="0" t="inlineStr">
        <is>
          <t>WARUNG NOO</t>
        </is>
      </c>
      <c r="H70" s="0" t="inlineStr">
        <is>
          <t>Consignment</t>
        </is>
      </c>
      <c r="J70" s="0">
        <v>10</v>
      </c>
      <c r="K70" s="0">
        <f>(P2*P70)+(Q2*Q70)+(R2*R70)+(S2*S70)+(T2*T70)+(U2*U70)+(V2*V70)+(W2*W70)+(X2*X70)+(Y2*Y70)+(Z2*Z70)+(AA2*AA70)+(AB2*AB70)+(AC2*AC70)+(AD2*AD70)+(AE2*AE70)+(AF2*AF70)+(AG2*AG70)+(AH2*AH70)+(AI2*AI70)+(AJ2*AJ70)+(AK2*AK70)+(AL2*AL70)+(AM2*AM70)+(AN2*AN70)+(AO2*AO70)+(AP2*AP70)+(AQ2*AQ70)+(AR2*AR70)+(AS2*AS70)+(AT2*AT70)+(AU2*AU70)+(AV2*AV70)+(AW2*AW70)+(AX2*AX70)+(AY2*AY70)+(AZ2*AZ70)+(BA2*BA70)+(BB2*BB70)+(BC2*BC70)+(BD2*BD70)+(BE2*BE70)+(BF2*BF70)+(BG2*BG70)+(BH2*BH70)+(BI2*BI70)+(BJ2*BJ70)+(BK2*BK70)+(BL2*BL70)+(BM2*BM70)+(BN2*BN70)+(BO2*BO70)+(BP2*BP70)+(BQ2*BQ70)+(BR2*BR70)+(BS2*BS70)+(BT2*BT70)+(BU2*BU70)+(BV2*BV70)+(BW2*BW70)+(BX2*BX70)+(BY2*BY70)+(BZ2*BZ70)+(CA2*CA70)+(CB2*CB70)+(CC2*CC70)+(CD2*CD70)</f>
        <v/>
      </c>
      <c r="L70" s="0">
        <f>K70-(K70*J70/100)</f>
        <v/>
      </c>
      <c r="M70" s="0">
        <f>ROUND(L70/1.11, 2)</f>
        <v/>
      </c>
      <c r="N70" s="0">
        <f>SUM(P70:CD70)</f>
        <v/>
      </c>
      <c r="O70" s="0">
        <f>COUNTIF(P70:CD70,"&gt;0")</f>
        <v/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</row>
    <row r="71" spans="1:82">
      <c r="A71" s="0">
        <v>69</v>
      </c>
      <c r="B71" s="0" t="inlineStr">
        <is>
          <t>2026-07-04</t>
        </is>
      </c>
      <c r="C71" s="0" t="inlineStr">
        <is>
          <t>71306764</t>
        </is>
      </c>
      <c r="D71" s="0" t="inlineStr">
        <is>
          <t>SMTR-03</t>
        </is>
      </c>
      <c r="E71" s="0" t="inlineStr">
        <is>
          <t>(1881581721)TOKO MAMA ELIS</t>
        </is>
      </c>
      <c r="F71" s="0" t="inlineStr">
        <is>
          <t>WARUNG NOO</t>
        </is>
      </c>
      <c r="G71" s="0" t="inlineStr">
        <is>
          <t>WARUNG NOO</t>
        </is>
      </c>
      <c r="H71" s="0" t="inlineStr">
        <is>
          <t>Consignment</t>
        </is>
      </c>
      <c r="J71" s="0">
        <v>10</v>
      </c>
      <c r="K71" s="0">
        <f>(P2*P71)+(Q2*Q71)+(R2*R71)+(S2*S71)+(T2*T71)+(U2*U71)+(V2*V71)+(W2*W71)+(X2*X71)+(Y2*Y71)+(Z2*Z71)+(AA2*AA71)+(AB2*AB71)+(AC2*AC71)+(AD2*AD71)+(AE2*AE71)+(AF2*AF71)+(AG2*AG71)+(AH2*AH71)+(AI2*AI71)+(AJ2*AJ71)+(AK2*AK71)+(AL2*AL71)+(AM2*AM71)+(AN2*AN71)+(AO2*AO71)+(AP2*AP71)+(AQ2*AQ71)+(AR2*AR71)+(AS2*AS71)+(AT2*AT71)+(AU2*AU71)+(AV2*AV71)+(AW2*AW71)+(AX2*AX71)+(AY2*AY71)+(AZ2*AZ71)+(BA2*BA71)+(BB2*BB71)+(BC2*BC71)+(BD2*BD71)+(BE2*BE71)+(BF2*BF71)+(BG2*BG71)+(BH2*BH71)+(BI2*BI71)+(BJ2*BJ71)+(BK2*BK71)+(BL2*BL71)+(BM2*BM71)+(BN2*BN71)+(BO2*BO71)+(BP2*BP71)+(BQ2*BQ71)+(BR2*BR71)+(BS2*BS71)+(BT2*BT71)+(BU2*BU71)+(BV2*BV71)+(BW2*BW71)+(BX2*BX71)+(BY2*BY71)+(BZ2*BZ71)+(CA2*CA71)+(CB2*CB71)+(CC2*CC71)+(CD2*CD71)</f>
        <v/>
      </c>
      <c r="L71" s="0">
        <f>K71-(K71*J71/100)</f>
        <v/>
      </c>
      <c r="M71" s="0">
        <f>ROUND(L71/1.11, 2)</f>
        <v/>
      </c>
      <c r="N71" s="0">
        <f>SUM(P71:CD71)</f>
        <v/>
      </c>
      <c r="O71" s="0">
        <f>COUNTIF(P71:CD71,"&gt;0")</f>
        <v/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</row>
    <row r="72" spans="1:82">
      <c r="A72" s="0">
        <v>70</v>
      </c>
      <c r="B72" s="0" t="inlineStr">
        <is>
          <t>2026-07-04</t>
        </is>
      </c>
      <c r="C72" s="0" t="inlineStr">
        <is>
          <t>71306764</t>
        </is>
      </c>
      <c r="D72" s="0" t="inlineStr">
        <is>
          <t>SMTR-03</t>
        </is>
      </c>
      <c r="E72" s="0" t="inlineStr">
        <is>
          <t>(1881582968)TOKO SUBUR LUBIS</t>
        </is>
      </c>
      <c r="F72" s="0" t="inlineStr">
        <is>
          <t>WARUNG NOO</t>
        </is>
      </c>
      <c r="G72" s="0" t="inlineStr">
        <is>
          <t>WARUNG NOO</t>
        </is>
      </c>
      <c r="H72" s="0" t="inlineStr">
        <is>
          <t>Consignment</t>
        </is>
      </c>
      <c r="J72" s="0">
        <v>10</v>
      </c>
      <c r="K72" s="0">
        <f>(P2*P72)+(Q2*Q72)+(R2*R72)+(S2*S72)+(T2*T72)+(U2*U72)+(V2*V72)+(W2*W72)+(X2*X72)+(Y2*Y72)+(Z2*Z72)+(AA2*AA72)+(AB2*AB72)+(AC2*AC72)+(AD2*AD72)+(AE2*AE72)+(AF2*AF72)+(AG2*AG72)+(AH2*AH72)+(AI2*AI72)+(AJ2*AJ72)+(AK2*AK72)+(AL2*AL72)+(AM2*AM72)+(AN2*AN72)+(AO2*AO72)+(AP2*AP72)+(AQ2*AQ72)+(AR2*AR72)+(AS2*AS72)+(AT2*AT72)+(AU2*AU72)+(AV2*AV72)+(AW2*AW72)+(AX2*AX72)+(AY2*AY72)+(AZ2*AZ72)+(BA2*BA72)+(BB2*BB72)+(BC2*BC72)+(BD2*BD72)+(BE2*BE72)+(BF2*BF72)+(BG2*BG72)+(BH2*BH72)+(BI2*BI72)+(BJ2*BJ72)+(BK2*BK72)+(BL2*BL72)+(BM2*BM72)+(BN2*BN72)+(BO2*BO72)+(BP2*BP72)+(BQ2*BQ72)+(BR2*BR72)+(BS2*BS72)+(BT2*BT72)+(BU2*BU72)+(BV2*BV72)+(BW2*BW72)+(BX2*BX72)+(BY2*BY72)+(BZ2*BZ72)+(CA2*CA72)+(CB2*CB72)+(CC2*CC72)+(CD2*CD72)</f>
        <v/>
      </c>
      <c r="L72" s="0">
        <f>K72-(K72*J72/100)</f>
        <v/>
      </c>
      <c r="M72" s="0">
        <f>ROUND(L72/1.11, 2)</f>
        <v/>
      </c>
      <c r="N72" s="0">
        <f>SUM(P72:CD72)</f>
        <v/>
      </c>
      <c r="O72" s="0">
        <f>COUNTIF(P72:CD72,"&gt;0")</f>
        <v/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</row>
    <row r="73" spans="1:82">
      <c r="A73" s="0">
        <v>71</v>
      </c>
      <c r="B73" s="0" t="inlineStr">
        <is>
          <t>2026-07-04</t>
        </is>
      </c>
      <c r="C73" s="0" t="inlineStr">
        <is>
          <t>71306764</t>
        </is>
      </c>
      <c r="D73" s="0" t="inlineStr">
        <is>
          <t>SMTR-03</t>
        </is>
      </c>
      <c r="E73" s="0" t="inlineStr">
        <is>
          <t>(1881583124)TOKO AZIZAH </t>
        </is>
      </c>
      <c r="F73" s="0" t="inlineStr">
        <is>
          <t>WARUNG NOO</t>
        </is>
      </c>
      <c r="G73" s="0" t="inlineStr">
        <is>
          <t>WARUNG NOO</t>
        </is>
      </c>
      <c r="H73" s="0" t="inlineStr">
        <is>
          <t>Consignment</t>
        </is>
      </c>
      <c r="J73" s="0">
        <v>10</v>
      </c>
      <c r="K73" s="0">
        <f>(P2*P73)+(Q2*Q73)+(R2*R73)+(S2*S73)+(T2*T73)+(U2*U73)+(V2*V73)+(W2*W73)+(X2*X73)+(Y2*Y73)+(Z2*Z73)+(AA2*AA73)+(AB2*AB73)+(AC2*AC73)+(AD2*AD73)+(AE2*AE73)+(AF2*AF73)+(AG2*AG73)+(AH2*AH73)+(AI2*AI73)+(AJ2*AJ73)+(AK2*AK73)+(AL2*AL73)+(AM2*AM73)+(AN2*AN73)+(AO2*AO73)+(AP2*AP73)+(AQ2*AQ73)+(AR2*AR73)+(AS2*AS73)+(AT2*AT73)+(AU2*AU73)+(AV2*AV73)+(AW2*AW73)+(AX2*AX73)+(AY2*AY73)+(AZ2*AZ73)+(BA2*BA73)+(BB2*BB73)+(BC2*BC73)+(BD2*BD73)+(BE2*BE73)+(BF2*BF73)+(BG2*BG73)+(BH2*BH73)+(BI2*BI73)+(BJ2*BJ73)+(BK2*BK73)+(BL2*BL73)+(BM2*BM73)+(BN2*BN73)+(BO2*BO73)+(BP2*BP73)+(BQ2*BQ73)+(BR2*BR73)+(BS2*BS73)+(BT2*BT73)+(BU2*BU73)+(BV2*BV73)+(BW2*BW73)+(BX2*BX73)+(BY2*BY73)+(BZ2*BZ73)+(CA2*CA73)+(CB2*CB73)+(CC2*CC73)+(CD2*CD73)</f>
        <v/>
      </c>
      <c r="L73" s="0">
        <f>K73-(K73*J73/100)</f>
        <v/>
      </c>
      <c r="M73" s="0">
        <f>ROUND(L73/1.11, 2)</f>
        <v/>
      </c>
      <c r="N73" s="0">
        <f>SUM(P73:CD73)</f>
        <v/>
      </c>
      <c r="O73" s="0">
        <f>COUNTIF(P73:CD73,"&gt;0")</f>
        <v/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</row>
    <row r="74" spans="1:82">
      <c r="A74" s="0">
        <v>72</v>
      </c>
      <c r="B74" s="0" t="inlineStr">
        <is>
          <t>2026-07-04</t>
        </is>
      </c>
      <c r="C74" s="0" t="inlineStr">
        <is>
          <t>71306764</t>
        </is>
      </c>
      <c r="D74" s="0" t="inlineStr">
        <is>
          <t>SMTR-03</t>
        </is>
      </c>
      <c r="E74" s="0" t="inlineStr">
        <is>
          <t>(1881584136)TOKO AZLAND BAROKAH</t>
        </is>
      </c>
      <c r="F74" s="0" t="inlineStr">
        <is>
          <t>WARUNG NOO</t>
        </is>
      </c>
      <c r="G74" s="0" t="inlineStr">
        <is>
          <t>WARUNG NOO</t>
        </is>
      </c>
      <c r="H74" s="0" t="inlineStr">
        <is>
          <t>Consignment</t>
        </is>
      </c>
      <c r="J74" s="0">
        <v>10</v>
      </c>
      <c r="K74" s="0">
        <f>(P2*P74)+(Q2*Q74)+(R2*R74)+(S2*S74)+(T2*T74)+(U2*U74)+(V2*V74)+(W2*W74)+(X2*X74)+(Y2*Y74)+(Z2*Z74)+(AA2*AA74)+(AB2*AB74)+(AC2*AC74)+(AD2*AD74)+(AE2*AE74)+(AF2*AF74)+(AG2*AG74)+(AH2*AH74)+(AI2*AI74)+(AJ2*AJ74)+(AK2*AK74)+(AL2*AL74)+(AM2*AM74)+(AN2*AN74)+(AO2*AO74)+(AP2*AP74)+(AQ2*AQ74)+(AR2*AR74)+(AS2*AS74)+(AT2*AT74)+(AU2*AU74)+(AV2*AV74)+(AW2*AW74)+(AX2*AX74)+(AY2*AY74)+(AZ2*AZ74)+(BA2*BA74)+(BB2*BB74)+(BC2*BC74)+(BD2*BD74)+(BE2*BE74)+(BF2*BF74)+(BG2*BG74)+(BH2*BH74)+(BI2*BI74)+(BJ2*BJ74)+(BK2*BK74)+(BL2*BL74)+(BM2*BM74)+(BN2*BN74)+(BO2*BO74)+(BP2*BP74)+(BQ2*BQ74)+(BR2*BR74)+(BS2*BS74)+(BT2*BT74)+(BU2*BU74)+(BV2*BV74)+(BW2*BW74)+(BX2*BX74)+(BY2*BY74)+(BZ2*BZ74)+(CA2*CA74)+(CB2*CB74)+(CC2*CC74)+(CD2*CD74)</f>
        <v/>
      </c>
      <c r="L74" s="0">
        <f>K74-(K74*J74/100)</f>
        <v/>
      </c>
      <c r="M74" s="0">
        <f>ROUND(L74/1.11, 2)</f>
        <v/>
      </c>
      <c r="N74" s="0">
        <f>SUM(P74:CD74)</f>
        <v/>
      </c>
      <c r="O74" s="0">
        <f>COUNTIF(P74:CD74,"&gt;0")</f>
        <v/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</row>
    <row r="75" spans="1:82">
      <c r="A75" s="0">
        <v>73</v>
      </c>
      <c r="B75" s="0" t="inlineStr">
        <is>
          <t>2026-07-04</t>
        </is>
      </c>
      <c r="C75" s="0" t="inlineStr">
        <is>
          <t>71306764</t>
        </is>
      </c>
      <c r="D75" s="0" t="inlineStr">
        <is>
          <t>SMTR-03</t>
        </is>
      </c>
      <c r="E75" s="0" t="inlineStr">
        <is>
          <t>(1881584599)TOKO ALYA</t>
        </is>
      </c>
      <c r="F75" s="0" t="inlineStr">
        <is>
          <t>WARUNG NOO</t>
        </is>
      </c>
      <c r="G75" s="0" t="inlineStr">
        <is>
          <t>WARUNG NOO</t>
        </is>
      </c>
      <c r="H75" s="0" t="inlineStr">
        <is>
          <t>Consignment</t>
        </is>
      </c>
      <c r="J75" s="0">
        <v>10</v>
      </c>
      <c r="K75" s="0">
        <f>(P2*P75)+(Q2*Q75)+(R2*R75)+(S2*S75)+(T2*T75)+(U2*U75)+(V2*V75)+(W2*W75)+(X2*X75)+(Y2*Y75)+(Z2*Z75)+(AA2*AA75)+(AB2*AB75)+(AC2*AC75)+(AD2*AD75)+(AE2*AE75)+(AF2*AF75)+(AG2*AG75)+(AH2*AH75)+(AI2*AI75)+(AJ2*AJ75)+(AK2*AK75)+(AL2*AL75)+(AM2*AM75)+(AN2*AN75)+(AO2*AO75)+(AP2*AP75)+(AQ2*AQ75)+(AR2*AR75)+(AS2*AS75)+(AT2*AT75)+(AU2*AU75)+(AV2*AV75)+(AW2*AW75)+(AX2*AX75)+(AY2*AY75)+(AZ2*AZ75)+(BA2*BA75)+(BB2*BB75)+(BC2*BC75)+(BD2*BD75)+(BE2*BE75)+(BF2*BF75)+(BG2*BG75)+(BH2*BH75)+(BI2*BI75)+(BJ2*BJ75)+(BK2*BK75)+(BL2*BL75)+(BM2*BM75)+(BN2*BN75)+(BO2*BO75)+(BP2*BP75)+(BQ2*BQ75)+(BR2*BR75)+(BS2*BS75)+(BT2*BT75)+(BU2*BU75)+(BV2*BV75)+(BW2*BW75)+(BX2*BX75)+(BY2*BY75)+(BZ2*BZ75)+(CA2*CA75)+(CB2*CB75)+(CC2*CC75)+(CD2*CD75)</f>
        <v/>
      </c>
      <c r="L75" s="0">
        <f>K75-(K75*J75/100)</f>
        <v/>
      </c>
      <c r="M75" s="0">
        <f>ROUND(L75/1.11, 2)</f>
        <v/>
      </c>
      <c r="N75" s="0">
        <f>SUM(P75:CD75)</f>
        <v/>
      </c>
      <c r="O75" s="0">
        <f>COUNTIF(P75:CD75,"&gt;0")</f>
        <v/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</row>
    <row r="76" spans="1:82">
      <c r="A76" s="0">
        <v>74</v>
      </c>
      <c r="B76" s="0" t="inlineStr">
        <is>
          <t>2026-07-04</t>
        </is>
      </c>
      <c r="C76" s="0" t="inlineStr">
        <is>
          <t>71306764</t>
        </is>
      </c>
      <c r="D76" s="0" t="inlineStr">
        <is>
          <t>SMTR-03</t>
        </is>
      </c>
      <c r="E76" s="0" t="inlineStr">
        <is>
          <t>(1881585299)TOKO ZIDAN 54</t>
        </is>
      </c>
      <c r="F76" s="0" t="inlineStr">
        <is>
          <t>WARUNG NOO</t>
        </is>
      </c>
      <c r="G76" s="0" t="inlineStr">
        <is>
          <t>WARUNG NOO</t>
        </is>
      </c>
      <c r="H76" s="0" t="inlineStr">
        <is>
          <t>Consignment</t>
        </is>
      </c>
      <c r="J76" s="0">
        <v>10</v>
      </c>
      <c r="K76" s="0">
        <f>(P2*P76)+(Q2*Q76)+(R2*R76)+(S2*S76)+(T2*T76)+(U2*U76)+(V2*V76)+(W2*W76)+(X2*X76)+(Y2*Y76)+(Z2*Z76)+(AA2*AA76)+(AB2*AB76)+(AC2*AC76)+(AD2*AD76)+(AE2*AE76)+(AF2*AF76)+(AG2*AG76)+(AH2*AH76)+(AI2*AI76)+(AJ2*AJ76)+(AK2*AK76)+(AL2*AL76)+(AM2*AM76)+(AN2*AN76)+(AO2*AO76)+(AP2*AP76)+(AQ2*AQ76)+(AR2*AR76)+(AS2*AS76)+(AT2*AT76)+(AU2*AU76)+(AV2*AV76)+(AW2*AW76)+(AX2*AX76)+(AY2*AY76)+(AZ2*AZ76)+(BA2*BA76)+(BB2*BB76)+(BC2*BC76)+(BD2*BD76)+(BE2*BE76)+(BF2*BF76)+(BG2*BG76)+(BH2*BH76)+(BI2*BI76)+(BJ2*BJ76)+(BK2*BK76)+(BL2*BL76)+(BM2*BM76)+(BN2*BN76)+(BO2*BO76)+(BP2*BP76)+(BQ2*BQ76)+(BR2*BR76)+(BS2*BS76)+(BT2*BT76)+(BU2*BU76)+(BV2*BV76)+(BW2*BW76)+(BX2*BX76)+(BY2*BY76)+(BZ2*BZ76)+(CA2*CA76)+(CB2*CB76)+(CC2*CC76)+(CD2*CD76)</f>
        <v/>
      </c>
      <c r="L76" s="0">
        <f>K76-(K76*J76/100)</f>
        <v/>
      </c>
      <c r="M76" s="0">
        <f>ROUND(L76/1.11, 2)</f>
        <v/>
      </c>
      <c r="N76" s="0">
        <f>SUM(P76:CD76)</f>
        <v/>
      </c>
      <c r="O76" s="0">
        <f>COUNTIF(P76:CD76,"&gt;0")</f>
        <v/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</row>
    <row r="77" spans="1:82">
      <c r="A77" s="0">
        <v>75</v>
      </c>
      <c r="B77" s="0" t="inlineStr">
        <is>
          <t>2026-07-04</t>
        </is>
      </c>
      <c r="C77" s="0" t="inlineStr">
        <is>
          <t>71306764</t>
        </is>
      </c>
      <c r="D77" s="0" t="inlineStr">
        <is>
          <t>SMTR-03</t>
        </is>
      </c>
      <c r="E77" s="0" t="inlineStr">
        <is>
          <t>(1881585916)TOKO WIWI BAROKAH</t>
        </is>
      </c>
      <c r="F77" s="0" t="inlineStr">
        <is>
          <t>WARUNG NOO</t>
        </is>
      </c>
      <c r="G77" s="0" t="inlineStr">
        <is>
          <t>WARUNG NOO</t>
        </is>
      </c>
      <c r="H77" s="0" t="inlineStr">
        <is>
          <t>Consignment</t>
        </is>
      </c>
      <c r="J77" s="0">
        <v>10</v>
      </c>
      <c r="K77" s="0">
        <f>(P2*P77)+(Q2*Q77)+(R2*R77)+(S2*S77)+(T2*T77)+(U2*U77)+(V2*V77)+(W2*W77)+(X2*X77)+(Y2*Y77)+(Z2*Z77)+(AA2*AA77)+(AB2*AB77)+(AC2*AC77)+(AD2*AD77)+(AE2*AE77)+(AF2*AF77)+(AG2*AG77)+(AH2*AH77)+(AI2*AI77)+(AJ2*AJ77)+(AK2*AK77)+(AL2*AL77)+(AM2*AM77)+(AN2*AN77)+(AO2*AO77)+(AP2*AP77)+(AQ2*AQ77)+(AR2*AR77)+(AS2*AS77)+(AT2*AT77)+(AU2*AU77)+(AV2*AV77)+(AW2*AW77)+(AX2*AX77)+(AY2*AY77)+(AZ2*AZ77)+(BA2*BA77)+(BB2*BB77)+(BC2*BC77)+(BD2*BD77)+(BE2*BE77)+(BF2*BF77)+(BG2*BG77)+(BH2*BH77)+(BI2*BI77)+(BJ2*BJ77)+(BK2*BK77)+(BL2*BL77)+(BM2*BM77)+(BN2*BN77)+(BO2*BO77)+(BP2*BP77)+(BQ2*BQ77)+(BR2*BR77)+(BS2*BS77)+(BT2*BT77)+(BU2*BU77)+(BV2*BV77)+(BW2*BW77)+(BX2*BX77)+(BY2*BY77)+(BZ2*BZ77)+(CA2*CA77)+(CB2*CB77)+(CC2*CC77)+(CD2*CD77)</f>
        <v/>
      </c>
      <c r="L77" s="0">
        <f>K77-(K77*J77/100)</f>
        <v/>
      </c>
      <c r="M77" s="0">
        <f>ROUND(L77/1.11, 2)</f>
        <v/>
      </c>
      <c r="N77" s="0">
        <f>SUM(P77:CD77)</f>
        <v/>
      </c>
      <c r="O77" s="0">
        <f>COUNTIF(P77:CD77,"&gt;0")</f>
        <v/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</row>
    <row r="78" spans="1:82">
      <c r="A78" s="0">
        <v>76</v>
      </c>
      <c r="B78" s="0" t="inlineStr">
        <is>
          <t>2026-07-04</t>
        </is>
      </c>
      <c r="C78" s="0" t="inlineStr">
        <is>
          <t>71306764</t>
        </is>
      </c>
      <c r="D78" s="0" t="inlineStr">
        <is>
          <t>SMTR-03</t>
        </is>
      </c>
      <c r="E78" s="0" t="inlineStr">
        <is>
          <t>(1881586709)Toko Khairina</t>
        </is>
      </c>
      <c r="F78" s="0" t="inlineStr">
        <is>
          <t>WARUNG NOO</t>
        </is>
      </c>
      <c r="G78" s="0" t="inlineStr">
        <is>
          <t>WARUNG NOO</t>
        </is>
      </c>
      <c r="H78" s="0" t="inlineStr">
        <is>
          <t>Consignment</t>
        </is>
      </c>
      <c r="J78" s="0">
        <v>10</v>
      </c>
      <c r="K78" s="0">
        <f>(P2*P78)+(Q2*Q78)+(R2*R78)+(S2*S78)+(T2*T78)+(U2*U78)+(V2*V78)+(W2*W78)+(X2*X78)+(Y2*Y78)+(Z2*Z78)+(AA2*AA78)+(AB2*AB78)+(AC2*AC78)+(AD2*AD78)+(AE2*AE78)+(AF2*AF78)+(AG2*AG78)+(AH2*AH78)+(AI2*AI78)+(AJ2*AJ78)+(AK2*AK78)+(AL2*AL78)+(AM2*AM78)+(AN2*AN78)+(AO2*AO78)+(AP2*AP78)+(AQ2*AQ78)+(AR2*AR78)+(AS2*AS78)+(AT2*AT78)+(AU2*AU78)+(AV2*AV78)+(AW2*AW78)+(AX2*AX78)+(AY2*AY78)+(AZ2*AZ78)+(BA2*BA78)+(BB2*BB78)+(BC2*BC78)+(BD2*BD78)+(BE2*BE78)+(BF2*BF78)+(BG2*BG78)+(BH2*BH78)+(BI2*BI78)+(BJ2*BJ78)+(BK2*BK78)+(BL2*BL78)+(BM2*BM78)+(BN2*BN78)+(BO2*BO78)+(BP2*BP78)+(BQ2*BQ78)+(BR2*BR78)+(BS2*BS78)+(BT2*BT78)+(BU2*BU78)+(BV2*BV78)+(BW2*BW78)+(BX2*BX78)+(BY2*BY78)+(BZ2*BZ78)+(CA2*CA78)+(CB2*CB78)+(CC2*CC78)+(CD2*CD78)</f>
        <v/>
      </c>
      <c r="L78" s="0">
        <f>K78-(K78*J78/100)</f>
        <v/>
      </c>
      <c r="M78" s="0">
        <f>ROUND(L78/1.11, 2)</f>
        <v/>
      </c>
      <c r="N78" s="0">
        <f>SUM(P78:CD78)</f>
        <v/>
      </c>
      <c r="O78" s="0">
        <f>COUNTIF(P78:CD78,"&gt;0")</f>
        <v/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</row>
    <row r="79" spans="1:82">
      <c r="A79" s="0">
        <v>77</v>
      </c>
      <c r="B79" s="0" t="inlineStr">
        <is>
          <t>2026-07-04</t>
        </is>
      </c>
      <c r="C79" s="0" t="inlineStr">
        <is>
          <t>71306764</t>
        </is>
      </c>
      <c r="D79" s="0" t="inlineStr">
        <is>
          <t>SMTR-03</t>
        </is>
      </c>
      <c r="E79" s="0" t="inlineStr">
        <is>
          <t>(1881589735)RANGKUTI TOKO</t>
        </is>
      </c>
      <c r="F79" s="0" t="inlineStr">
        <is>
          <t>WARUNG NOO</t>
        </is>
      </c>
      <c r="G79" s="0" t="inlineStr">
        <is>
          <t>WARUNG NOO</t>
        </is>
      </c>
      <c r="H79" s="0" t="inlineStr">
        <is>
          <t>Consignment</t>
        </is>
      </c>
      <c r="J79" s="0">
        <v>10</v>
      </c>
      <c r="K79" s="0">
        <f>(P2*P79)+(Q2*Q79)+(R2*R79)+(S2*S79)+(T2*T79)+(U2*U79)+(V2*V79)+(W2*W79)+(X2*X79)+(Y2*Y79)+(Z2*Z79)+(AA2*AA79)+(AB2*AB79)+(AC2*AC79)+(AD2*AD79)+(AE2*AE79)+(AF2*AF79)+(AG2*AG79)+(AH2*AH79)+(AI2*AI79)+(AJ2*AJ79)+(AK2*AK79)+(AL2*AL79)+(AM2*AM79)+(AN2*AN79)+(AO2*AO79)+(AP2*AP79)+(AQ2*AQ79)+(AR2*AR79)+(AS2*AS79)+(AT2*AT79)+(AU2*AU79)+(AV2*AV79)+(AW2*AW79)+(AX2*AX79)+(AY2*AY79)+(AZ2*AZ79)+(BA2*BA79)+(BB2*BB79)+(BC2*BC79)+(BD2*BD79)+(BE2*BE79)+(BF2*BF79)+(BG2*BG79)+(BH2*BH79)+(BI2*BI79)+(BJ2*BJ79)+(BK2*BK79)+(BL2*BL79)+(BM2*BM79)+(BN2*BN79)+(BO2*BO79)+(BP2*BP79)+(BQ2*BQ79)+(BR2*BR79)+(BS2*BS79)+(BT2*BT79)+(BU2*BU79)+(BV2*BV79)+(BW2*BW79)+(BX2*BX79)+(BY2*BY79)+(BZ2*BZ79)+(CA2*CA79)+(CB2*CB79)+(CC2*CC79)+(CD2*CD79)</f>
        <v/>
      </c>
      <c r="L79" s="0">
        <f>K79-(K79*J79/100)</f>
        <v/>
      </c>
      <c r="M79" s="0">
        <f>ROUND(L79/1.11, 2)</f>
        <v/>
      </c>
      <c r="N79" s="0">
        <f>SUM(P79:CD79)</f>
        <v/>
      </c>
      <c r="O79" s="0">
        <f>COUNTIF(P79:CD79,"&gt;0")</f>
        <v/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</row>
    <row r="80" spans="1:82">
      <c r="A80" s="0">
        <v>78</v>
      </c>
      <c r="B80" s="0" t="inlineStr">
        <is>
          <t>2026-07-04</t>
        </is>
      </c>
      <c r="C80" s="0" t="inlineStr">
        <is>
          <t>71306764</t>
        </is>
      </c>
      <c r="D80" s="0" t="inlineStr">
        <is>
          <t>SMTR-03</t>
        </is>
      </c>
      <c r="E80" s="0" t="inlineStr">
        <is>
          <t>(1881590535)UCOK TOKO</t>
        </is>
      </c>
      <c r="F80" s="0" t="inlineStr">
        <is>
          <t>WARUNG NOO</t>
        </is>
      </c>
      <c r="G80" s="0" t="inlineStr">
        <is>
          <t>WARUNG NOO</t>
        </is>
      </c>
      <c r="H80" s="0" t="inlineStr">
        <is>
          <t>Consignment</t>
        </is>
      </c>
      <c r="J80" s="0">
        <v>10</v>
      </c>
      <c r="K80" s="0">
        <f>(P2*P80)+(Q2*Q80)+(R2*R80)+(S2*S80)+(T2*T80)+(U2*U80)+(V2*V80)+(W2*W80)+(X2*X80)+(Y2*Y80)+(Z2*Z80)+(AA2*AA80)+(AB2*AB80)+(AC2*AC80)+(AD2*AD80)+(AE2*AE80)+(AF2*AF80)+(AG2*AG80)+(AH2*AH80)+(AI2*AI80)+(AJ2*AJ80)+(AK2*AK80)+(AL2*AL80)+(AM2*AM80)+(AN2*AN80)+(AO2*AO80)+(AP2*AP80)+(AQ2*AQ80)+(AR2*AR80)+(AS2*AS80)+(AT2*AT80)+(AU2*AU80)+(AV2*AV80)+(AW2*AW80)+(AX2*AX80)+(AY2*AY80)+(AZ2*AZ80)+(BA2*BA80)+(BB2*BB80)+(BC2*BC80)+(BD2*BD80)+(BE2*BE80)+(BF2*BF80)+(BG2*BG80)+(BH2*BH80)+(BI2*BI80)+(BJ2*BJ80)+(BK2*BK80)+(BL2*BL80)+(BM2*BM80)+(BN2*BN80)+(BO2*BO80)+(BP2*BP80)+(BQ2*BQ80)+(BR2*BR80)+(BS2*BS80)+(BT2*BT80)+(BU2*BU80)+(BV2*BV80)+(BW2*BW80)+(BX2*BX80)+(BY2*BY80)+(BZ2*BZ80)+(CA2*CA80)+(CB2*CB80)+(CC2*CC80)+(CD2*CD80)</f>
        <v/>
      </c>
      <c r="L80" s="0">
        <f>K80-(K80*J80/100)</f>
        <v/>
      </c>
      <c r="M80" s="0">
        <f>ROUND(L80/1.11, 2)</f>
        <v/>
      </c>
      <c r="N80" s="0">
        <f>SUM(P80:CD80)</f>
        <v/>
      </c>
      <c r="O80" s="0">
        <f>COUNTIF(P80:CD80,"&gt;0")</f>
        <v/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</row>
    <row r="81" spans="1:82">
      <c r="A81" s="0">
        <v>79</v>
      </c>
      <c r="B81" s="0" t="inlineStr">
        <is>
          <t>2026-07-04</t>
        </is>
      </c>
      <c r="C81" s="0" t="inlineStr">
        <is>
          <t>71306765</t>
        </is>
      </c>
      <c r="D81" s="0" t="inlineStr">
        <is>
          <t>SMTR-04</t>
        </is>
      </c>
      <c r="E81" s="0" t="inlineStr">
        <is>
          <t>(1881578518)TUTY WARUNG</t>
        </is>
      </c>
      <c r="F81" s="0" t="inlineStr">
        <is>
          <t>WARUNG NOO</t>
        </is>
      </c>
      <c r="G81" s="0" t="inlineStr">
        <is>
          <t>WARUNG NOO</t>
        </is>
      </c>
      <c r="H81" s="0" t="inlineStr">
        <is>
          <t>Consignment</t>
        </is>
      </c>
      <c r="J81" s="0">
        <v>10</v>
      </c>
      <c r="K81" s="0">
        <f>(P2*P81)+(Q2*Q81)+(R2*R81)+(S2*S81)+(T2*T81)+(U2*U81)+(V2*V81)+(W2*W81)+(X2*X81)+(Y2*Y81)+(Z2*Z81)+(AA2*AA81)+(AB2*AB81)+(AC2*AC81)+(AD2*AD81)+(AE2*AE81)+(AF2*AF81)+(AG2*AG81)+(AH2*AH81)+(AI2*AI81)+(AJ2*AJ81)+(AK2*AK81)+(AL2*AL81)+(AM2*AM81)+(AN2*AN81)+(AO2*AO81)+(AP2*AP81)+(AQ2*AQ81)+(AR2*AR81)+(AS2*AS81)+(AT2*AT81)+(AU2*AU81)+(AV2*AV81)+(AW2*AW81)+(AX2*AX81)+(AY2*AY81)+(AZ2*AZ81)+(BA2*BA81)+(BB2*BB81)+(BC2*BC81)+(BD2*BD81)+(BE2*BE81)+(BF2*BF81)+(BG2*BG81)+(BH2*BH81)+(BI2*BI81)+(BJ2*BJ81)+(BK2*BK81)+(BL2*BL81)+(BM2*BM81)+(BN2*BN81)+(BO2*BO81)+(BP2*BP81)+(BQ2*BQ81)+(BR2*BR81)+(BS2*BS81)+(BT2*BT81)+(BU2*BU81)+(BV2*BV81)+(BW2*BW81)+(BX2*BX81)+(BY2*BY81)+(BZ2*BZ81)+(CA2*CA81)+(CB2*CB81)+(CC2*CC81)+(CD2*CD81)</f>
        <v/>
      </c>
      <c r="L81" s="0">
        <f>K81-(K81*J81/100)</f>
        <v/>
      </c>
      <c r="M81" s="0">
        <f>ROUND(L81/1.11, 2)</f>
        <v/>
      </c>
      <c r="N81" s="0">
        <f>SUM(P81:CD81)</f>
        <v/>
      </c>
      <c r="O81" s="0">
        <f>COUNTIF(P81:CD81,"&gt;0")</f>
        <v/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</row>
    <row r="82" spans="1:82">
      <c r="A82" s="0">
        <v>80</v>
      </c>
      <c r="B82" s="0" t="inlineStr">
        <is>
          <t>2026-07-04</t>
        </is>
      </c>
      <c r="C82" s="0" t="inlineStr">
        <is>
          <t>71306765</t>
        </is>
      </c>
      <c r="D82" s="0" t="inlineStr">
        <is>
          <t>SMTR-04</t>
        </is>
      </c>
      <c r="E82" s="0" t="inlineStr">
        <is>
          <t>(1881579172)TOKO SULTAN SAKIR</t>
        </is>
      </c>
      <c r="F82" s="0" t="inlineStr">
        <is>
          <t>WARUNG NOO</t>
        </is>
      </c>
      <c r="G82" s="0" t="inlineStr">
        <is>
          <t>WARUNG NOO</t>
        </is>
      </c>
      <c r="H82" s="0" t="inlineStr">
        <is>
          <t>Consignment</t>
        </is>
      </c>
      <c r="J82" s="0">
        <v>10</v>
      </c>
      <c r="K82" s="0">
        <f>(P2*P82)+(Q2*Q82)+(R2*R82)+(S2*S82)+(T2*T82)+(U2*U82)+(V2*V82)+(W2*W82)+(X2*X82)+(Y2*Y82)+(Z2*Z82)+(AA2*AA82)+(AB2*AB82)+(AC2*AC82)+(AD2*AD82)+(AE2*AE82)+(AF2*AF82)+(AG2*AG82)+(AH2*AH82)+(AI2*AI82)+(AJ2*AJ82)+(AK2*AK82)+(AL2*AL82)+(AM2*AM82)+(AN2*AN82)+(AO2*AO82)+(AP2*AP82)+(AQ2*AQ82)+(AR2*AR82)+(AS2*AS82)+(AT2*AT82)+(AU2*AU82)+(AV2*AV82)+(AW2*AW82)+(AX2*AX82)+(AY2*AY82)+(AZ2*AZ82)+(BA2*BA82)+(BB2*BB82)+(BC2*BC82)+(BD2*BD82)+(BE2*BE82)+(BF2*BF82)+(BG2*BG82)+(BH2*BH82)+(BI2*BI82)+(BJ2*BJ82)+(BK2*BK82)+(BL2*BL82)+(BM2*BM82)+(BN2*BN82)+(BO2*BO82)+(BP2*BP82)+(BQ2*BQ82)+(BR2*BR82)+(BS2*BS82)+(BT2*BT82)+(BU2*BU82)+(BV2*BV82)+(BW2*BW82)+(BX2*BX82)+(BY2*BY82)+(BZ2*BZ82)+(CA2*CA82)+(CB2*CB82)+(CC2*CC82)+(CD2*CD82)</f>
        <v/>
      </c>
      <c r="L82" s="0">
        <f>K82-(K82*J82/100)</f>
        <v/>
      </c>
      <c r="M82" s="0">
        <f>ROUND(L82/1.11, 2)</f>
        <v/>
      </c>
      <c r="N82" s="0">
        <f>SUM(P82:CD82)</f>
        <v/>
      </c>
      <c r="O82" s="0">
        <f>COUNTIF(P82:CD82,"&gt;0")</f>
        <v/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</row>
    <row r="83" spans="1:82">
      <c r="A83" s="0">
        <v>81</v>
      </c>
      <c r="B83" s="0" t="inlineStr">
        <is>
          <t>2026-07-04</t>
        </is>
      </c>
      <c r="C83" s="0" t="inlineStr">
        <is>
          <t>71306765</t>
        </is>
      </c>
      <c r="D83" s="0" t="inlineStr">
        <is>
          <t>SMTR-04</t>
        </is>
      </c>
      <c r="E83" s="0" t="inlineStr">
        <is>
          <t>(1881579312)IBU TRI WARUNG</t>
        </is>
      </c>
      <c r="F83" s="0" t="inlineStr">
        <is>
          <t>WARUNG NOO</t>
        </is>
      </c>
      <c r="G83" s="0" t="inlineStr">
        <is>
          <t>WARUNG NOO</t>
        </is>
      </c>
      <c r="H83" s="0" t="inlineStr">
        <is>
          <t>Consignment</t>
        </is>
      </c>
      <c r="J83" s="0">
        <v>10</v>
      </c>
      <c r="K83" s="0">
        <f>(P2*P83)+(Q2*Q83)+(R2*R83)+(S2*S83)+(T2*T83)+(U2*U83)+(V2*V83)+(W2*W83)+(X2*X83)+(Y2*Y83)+(Z2*Z83)+(AA2*AA83)+(AB2*AB83)+(AC2*AC83)+(AD2*AD83)+(AE2*AE83)+(AF2*AF83)+(AG2*AG83)+(AH2*AH83)+(AI2*AI83)+(AJ2*AJ83)+(AK2*AK83)+(AL2*AL83)+(AM2*AM83)+(AN2*AN83)+(AO2*AO83)+(AP2*AP83)+(AQ2*AQ83)+(AR2*AR83)+(AS2*AS83)+(AT2*AT83)+(AU2*AU83)+(AV2*AV83)+(AW2*AW83)+(AX2*AX83)+(AY2*AY83)+(AZ2*AZ83)+(BA2*BA83)+(BB2*BB83)+(BC2*BC83)+(BD2*BD83)+(BE2*BE83)+(BF2*BF83)+(BG2*BG83)+(BH2*BH83)+(BI2*BI83)+(BJ2*BJ83)+(BK2*BK83)+(BL2*BL83)+(BM2*BM83)+(BN2*BN83)+(BO2*BO83)+(BP2*BP83)+(BQ2*BQ83)+(BR2*BR83)+(BS2*BS83)+(BT2*BT83)+(BU2*BU83)+(BV2*BV83)+(BW2*BW83)+(BX2*BX83)+(BY2*BY83)+(BZ2*BZ83)+(CA2*CA83)+(CB2*CB83)+(CC2*CC83)+(CD2*CD83)</f>
        <v/>
      </c>
      <c r="L83" s="0">
        <f>K83-(K83*J83/100)</f>
        <v/>
      </c>
      <c r="M83" s="0">
        <f>ROUND(L83/1.11, 2)</f>
        <v/>
      </c>
      <c r="N83" s="0">
        <f>SUM(P83:CD83)</f>
        <v/>
      </c>
      <c r="O83" s="0">
        <f>COUNTIF(P83:CD83,"&gt;0")</f>
        <v/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</row>
    <row r="84" spans="1:82">
      <c r="A84" s="0">
        <v>82</v>
      </c>
      <c r="B84" s="0" t="inlineStr">
        <is>
          <t>2026-07-04</t>
        </is>
      </c>
      <c r="C84" s="0" t="inlineStr">
        <is>
          <t>71306765</t>
        </is>
      </c>
      <c r="D84" s="0" t="inlineStr">
        <is>
          <t>SMTR-04</t>
        </is>
      </c>
      <c r="E84" s="0" t="inlineStr">
        <is>
          <t>(1881579479)TOKO RIDFQI 2</t>
        </is>
      </c>
      <c r="F84" s="0" t="inlineStr">
        <is>
          <t>WARUNG NOO</t>
        </is>
      </c>
      <c r="G84" s="0" t="inlineStr">
        <is>
          <t>WARUNG NOO</t>
        </is>
      </c>
      <c r="H84" s="0" t="inlineStr">
        <is>
          <t>Consignment</t>
        </is>
      </c>
      <c r="J84" s="0">
        <v>10</v>
      </c>
      <c r="K84" s="0">
        <f>(P2*P84)+(Q2*Q84)+(R2*R84)+(S2*S84)+(T2*T84)+(U2*U84)+(V2*V84)+(W2*W84)+(X2*X84)+(Y2*Y84)+(Z2*Z84)+(AA2*AA84)+(AB2*AB84)+(AC2*AC84)+(AD2*AD84)+(AE2*AE84)+(AF2*AF84)+(AG2*AG84)+(AH2*AH84)+(AI2*AI84)+(AJ2*AJ84)+(AK2*AK84)+(AL2*AL84)+(AM2*AM84)+(AN2*AN84)+(AO2*AO84)+(AP2*AP84)+(AQ2*AQ84)+(AR2*AR84)+(AS2*AS84)+(AT2*AT84)+(AU2*AU84)+(AV2*AV84)+(AW2*AW84)+(AX2*AX84)+(AY2*AY84)+(AZ2*AZ84)+(BA2*BA84)+(BB2*BB84)+(BC2*BC84)+(BD2*BD84)+(BE2*BE84)+(BF2*BF84)+(BG2*BG84)+(BH2*BH84)+(BI2*BI84)+(BJ2*BJ84)+(BK2*BK84)+(BL2*BL84)+(BM2*BM84)+(BN2*BN84)+(BO2*BO84)+(BP2*BP84)+(BQ2*BQ84)+(BR2*BR84)+(BS2*BS84)+(BT2*BT84)+(BU2*BU84)+(BV2*BV84)+(BW2*BW84)+(BX2*BX84)+(BY2*BY84)+(BZ2*BZ84)+(CA2*CA84)+(CB2*CB84)+(CC2*CC84)+(CD2*CD84)</f>
        <v/>
      </c>
      <c r="L84" s="0">
        <f>K84-(K84*J84/100)</f>
        <v/>
      </c>
      <c r="M84" s="0">
        <f>ROUND(L84/1.11, 2)</f>
        <v/>
      </c>
      <c r="N84" s="0">
        <f>SUM(P84:CD84)</f>
        <v/>
      </c>
      <c r="O84" s="0">
        <f>COUNTIF(P84:CD84,"&gt;0")</f>
        <v/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</row>
    <row r="85" spans="1:82">
      <c r="A85" s="0">
        <v>83</v>
      </c>
      <c r="B85" s="0" t="inlineStr">
        <is>
          <t>2026-07-04</t>
        </is>
      </c>
      <c r="C85" s="0" t="inlineStr">
        <is>
          <t>71306765</t>
        </is>
      </c>
      <c r="D85" s="0" t="inlineStr">
        <is>
          <t>SMTR-04</t>
        </is>
      </c>
      <c r="E85" s="0" t="inlineStr">
        <is>
          <t>(1881579480)TOKO BOGANIA </t>
        </is>
      </c>
      <c r="F85" s="0" t="inlineStr">
        <is>
          <t>WARUNG NOO</t>
        </is>
      </c>
      <c r="G85" s="0" t="inlineStr">
        <is>
          <t>WARUNG NOO</t>
        </is>
      </c>
      <c r="H85" s="0" t="inlineStr">
        <is>
          <t>Consignment</t>
        </is>
      </c>
      <c r="J85" s="0">
        <v>10</v>
      </c>
      <c r="K85" s="0">
        <f>(P2*P85)+(Q2*Q85)+(R2*R85)+(S2*S85)+(T2*T85)+(U2*U85)+(V2*V85)+(W2*W85)+(X2*X85)+(Y2*Y85)+(Z2*Z85)+(AA2*AA85)+(AB2*AB85)+(AC2*AC85)+(AD2*AD85)+(AE2*AE85)+(AF2*AF85)+(AG2*AG85)+(AH2*AH85)+(AI2*AI85)+(AJ2*AJ85)+(AK2*AK85)+(AL2*AL85)+(AM2*AM85)+(AN2*AN85)+(AO2*AO85)+(AP2*AP85)+(AQ2*AQ85)+(AR2*AR85)+(AS2*AS85)+(AT2*AT85)+(AU2*AU85)+(AV2*AV85)+(AW2*AW85)+(AX2*AX85)+(AY2*AY85)+(AZ2*AZ85)+(BA2*BA85)+(BB2*BB85)+(BC2*BC85)+(BD2*BD85)+(BE2*BE85)+(BF2*BF85)+(BG2*BG85)+(BH2*BH85)+(BI2*BI85)+(BJ2*BJ85)+(BK2*BK85)+(BL2*BL85)+(BM2*BM85)+(BN2*BN85)+(BO2*BO85)+(BP2*BP85)+(BQ2*BQ85)+(BR2*BR85)+(BS2*BS85)+(BT2*BT85)+(BU2*BU85)+(BV2*BV85)+(BW2*BW85)+(BX2*BX85)+(BY2*BY85)+(BZ2*BZ85)+(CA2*CA85)+(CB2*CB85)+(CC2*CC85)+(CD2*CD85)</f>
        <v/>
      </c>
      <c r="L85" s="0">
        <f>K85-(K85*J85/100)</f>
        <v/>
      </c>
      <c r="M85" s="0">
        <f>ROUND(L85/1.11, 2)</f>
        <v/>
      </c>
      <c r="N85" s="0">
        <f>SUM(P85:CD85)</f>
        <v/>
      </c>
      <c r="O85" s="0">
        <f>COUNTIF(P85:CD85,"&gt;0")</f>
        <v/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</row>
    <row r="86" spans="1:82">
      <c r="A86" s="0">
        <v>84</v>
      </c>
      <c r="B86" s="0" t="inlineStr">
        <is>
          <t>2026-07-04</t>
        </is>
      </c>
      <c r="C86" s="0" t="inlineStr">
        <is>
          <t>71306765</t>
        </is>
      </c>
      <c r="D86" s="0" t="inlineStr">
        <is>
          <t>SMTR-04</t>
        </is>
      </c>
      <c r="E86" s="0" t="inlineStr">
        <is>
          <t>(1881581277)TOKO SARMILIH</t>
        </is>
      </c>
      <c r="F86" s="0" t="inlineStr">
        <is>
          <t>WARUNG NOO</t>
        </is>
      </c>
      <c r="G86" s="0" t="inlineStr">
        <is>
          <t>WARUNG NOO</t>
        </is>
      </c>
      <c r="H86" s="0" t="inlineStr">
        <is>
          <t>Consignment</t>
        </is>
      </c>
      <c r="J86" s="0">
        <v>10</v>
      </c>
      <c r="K86" s="0">
        <f>(P2*P86)+(Q2*Q86)+(R2*R86)+(S2*S86)+(T2*T86)+(U2*U86)+(V2*V86)+(W2*W86)+(X2*X86)+(Y2*Y86)+(Z2*Z86)+(AA2*AA86)+(AB2*AB86)+(AC2*AC86)+(AD2*AD86)+(AE2*AE86)+(AF2*AF86)+(AG2*AG86)+(AH2*AH86)+(AI2*AI86)+(AJ2*AJ86)+(AK2*AK86)+(AL2*AL86)+(AM2*AM86)+(AN2*AN86)+(AO2*AO86)+(AP2*AP86)+(AQ2*AQ86)+(AR2*AR86)+(AS2*AS86)+(AT2*AT86)+(AU2*AU86)+(AV2*AV86)+(AW2*AW86)+(AX2*AX86)+(AY2*AY86)+(AZ2*AZ86)+(BA2*BA86)+(BB2*BB86)+(BC2*BC86)+(BD2*BD86)+(BE2*BE86)+(BF2*BF86)+(BG2*BG86)+(BH2*BH86)+(BI2*BI86)+(BJ2*BJ86)+(BK2*BK86)+(BL2*BL86)+(BM2*BM86)+(BN2*BN86)+(BO2*BO86)+(BP2*BP86)+(BQ2*BQ86)+(BR2*BR86)+(BS2*BS86)+(BT2*BT86)+(BU2*BU86)+(BV2*BV86)+(BW2*BW86)+(BX2*BX86)+(BY2*BY86)+(BZ2*BZ86)+(CA2*CA86)+(CB2*CB86)+(CC2*CC86)+(CD2*CD86)</f>
        <v/>
      </c>
      <c r="L86" s="0">
        <f>K86-(K86*J86/100)</f>
        <v/>
      </c>
      <c r="M86" s="0">
        <f>ROUND(L86/1.11, 2)</f>
        <v/>
      </c>
      <c r="N86" s="0">
        <f>SUM(P86:CD86)</f>
        <v/>
      </c>
      <c r="O86" s="0">
        <f>COUNTIF(P86:CD86,"&gt;0")</f>
        <v/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</row>
    <row r="87" spans="1:82">
      <c r="A87" s="0">
        <v>85</v>
      </c>
      <c r="B87" s="0" t="inlineStr">
        <is>
          <t>2026-07-04</t>
        </is>
      </c>
      <c r="C87" s="0" t="inlineStr">
        <is>
          <t>71306765</t>
        </is>
      </c>
      <c r="D87" s="0" t="inlineStr">
        <is>
          <t>SMTR-04</t>
        </is>
      </c>
      <c r="E87" s="0" t="inlineStr">
        <is>
          <t>(1881581287)TOKO NEDIO</t>
        </is>
      </c>
      <c r="F87" s="0" t="inlineStr">
        <is>
          <t>MTI NOO</t>
        </is>
      </c>
      <c r="G87" s="0" t="inlineStr">
        <is>
          <t>MTI NOO</t>
        </is>
      </c>
      <c r="H87" s="0" t="inlineStr">
        <is>
          <t>Consignment</t>
        </is>
      </c>
      <c r="J87" s="0">
        <v>10</v>
      </c>
      <c r="K87" s="0">
        <f>(P2*P87)+(Q2*Q87)+(R2*R87)+(S2*S87)+(T2*T87)+(U2*U87)+(V2*V87)+(W2*W87)+(X2*X87)+(Y2*Y87)+(Z2*Z87)+(AA2*AA87)+(AB2*AB87)+(AC2*AC87)+(AD2*AD87)+(AE2*AE87)+(AF2*AF87)+(AG2*AG87)+(AH2*AH87)+(AI2*AI87)+(AJ2*AJ87)+(AK2*AK87)+(AL2*AL87)+(AM2*AM87)+(AN2*AN87)+(AO2*AO87)+(AP2*AP87)+(AQ2*AQ87)+(AR2*AR87)+(AS2*AS87)+(AT2*AT87)+(AU2*AU87)+(AV2*AV87)+(AW2*AW87)+(AX2*AX87)+(AY2*AY87)+(AZ2*AZ87)+(BA2*BA87)+(BB2*BB87)+(BC2*BC87)+(BD2*BD87)+(BE2*BE87)+(BF2*BF87)+(BG2*BG87)+(BH2*BH87)+(BI2*BI87)+(BJ2*BJ87)+(BK2*BK87)+(BL2*BL87)+(BM2*BM87)+(BN2*BN87)+(BO2*BO87)+(BP2*BP87)+(BQ2*BQ87)+(BR2*BR87)+(BS2*BS87)+(BT2*BT87)+(BU2*BU87)+(BV2*BV87)+(BW2*BW87)+(BX2*BX87)+(BY2*BY87)+(BZ2*BZ87)+(CA2*CA87)+(CB2*CB87)+(CC2*CC87)+(CD2*CD87)</f>
        <v/>
      </c>
      <c r="L87" s="0">
        <f>K87-(K87*J87/100)</f>
        <v/>
      </c>
      <c r="M87" s="0">
        <f>ROUND(L87/1.11, 2)</f>
        <v/>
      </c>
      <c r="N87" s="0">
        <f>SUM(P87:CD87)</f>
        <v/>
      </c>
      <c r="O87" s="0">
        <f>COUNTIF(P87:CD87,"&gt;0")</f>
        <v/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</row>
    <row r="88" spans="1:82">
      <c r="A88" s="0">
        <v>86</v>
      </c>
      <c r="B88" s="0" t="inlineStr">
        <is>
          <t>2026-07-04</t>
        </is>
      </c>
      <c r="C88" s="0" t="inlineStr">
        <is>
          <t>71306765</t>
        </is>
      </c>
      <c r="D88" s="0" t="inlineStr">
        <is>
          <t>SMTR-04</t>
        </is>
      </c>
      <c r="E88" s="0" t="inlineStr">
        <is>
          <t>(1881581354)TOKO YUGO</t>
        </is>
      </c>
      <c r="F88" s="0" t="inlineStr">
        <is>
          <t>WARUNG NOO</t>
        </is>
      </c>
      <c r="G88" s="0" t="inlineStr">
        <is>
          <t>WARUNG NOO</t>
        </is>
      </c>
      <c r="H88" s="0" t="inlineStr">
        <is>
          <t>Consignment</t>
        </is>
      </c>
      <c r="J88" s="0">
        <v>10</v>
      </c>
      <c r="K88" s="0">
        <f>(P2*P88)+(Q2*Q88)+(R2*R88)+(S2*S88)+(T2*T88)+(U2*U88)+(V2*V88)+(W2*W88)+(X2*X88)+(Y2*Y88)+(Z2*Z88)+(AA2*AA88)+(AB2*AB88)+(AC2*AC88)+(AD2*AD88)+(AE2*AE88)+(AF2*AF88)+(AG2*AG88)+(AH2*AH88)+(AI2*AI88)+(AJ2*AJ88)+(AK2*AK88)+(AL2*AL88)+(AM2*AM88)+(AN2*AN88)+(AO2*AO88)+(AP2*AP88)+(AQ2*AQ88)+(AR2*AR88)+(AS2*AS88)+(AT2*AT88)+(AU2*AU88)+(AV2*AV88)+(AW2*AW88)+(AX2*AX88)+(AY2*AY88)+(AZ2*AZ88)+(BA2*BA88)+(BB2*BB88)+(BC2*BC88)+(BD2*BD88)+(BE2*BE88)+(BF2*BF88)+(BG2*BG88)+(BH2*BH88)+(BI2*BI88)+(BJ2*BJ88)+(BK2*BK88)+(BL2*BL88)+(BM2*BM88)+(BN2*BN88)+(BO2*BO88)+(BP2*BP88)+(BQ2*BQ88)+(BR2*BR88)+(BS2*BS88)+(BT2*BT88)+(BU2*BU88)+(BV2*BV88)+(BW2*BW88)+(BX2*BX88)+(BY2*BY88)+(BZ2*BZ88)+(CA2*CA88)+(CB2*CB88)+(CC2*CC88)+(CD2*CD88)</f>
        <v/>
      </c>
      <c r="L88" s="0">
        <f>K88-(K88*J88/100)</f>
        <v/>
      </c>
      <c r="M88" s="0">
        <f>ROUND(L88/1.11, 2)</f>
        <v/>
      </c>
      <c r="N88" s="0">
        <f>SUM(P88:CD88)</f>
        <v/>
      </c>
      <c r="O88" s="0">
        <f>COUNTIF(P88:CD88,"&gt;0")</f>
        <v/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</row>
    <row r="89" spans="1:82">
      <c r="A89" s="0">
        <v>87</v>
      </c>
      <c r="B89" s="0" t="inlineStr">
        <is>
          <t>2026-07-04</t>
        </is>
      </c>
      <c r="C89" s="0" t="inlineStr">
        <is>
          <t>71306765</t>
        </is>
      </c>
      <c r="D89" s="0" t="inlineStr">
        <is>
          <t>SMTR-04</t>
        </is>
      </c>
      <c r="E89" s="0" t="inlineStr">
        <is>
          <t>(1881581410)TOKO ARESMA </t>
        </is>
      </c>
      <c r="F89" s="0" t="inlineStr">
        <is>
          <t>WARUNG NOO</t>
        </is>
      </c>
      <c r="G89" s="0" t="inlineStr">
        <is>
          <t>WARUNG NOO</t>
        </is>
      </c>
      <c r="H89" s="0" t="inlineStr">
        <is>
          <t>Consignment</t>
        </is>
      </c>
      <c r="J89" s="0">
        <v>10</v>
      </c>
      <c r="K89" s="0">
        <f>(P2*P89)+(Q2*Q89)+(R2*R89)+(S2*S89)+(T2*T89)+(U2*U89)+(V2*V89)+(W2*W89)+(X2*X89)+(Y2*Y89)+(Z2*Z89)+(AA2*AA89)+(AB2*AB89)+(AC2*AC89)+(AD2*AD89)+(AE2*AE89)+(AF2*AF89)+(AG2*AG89)+(AH2*AH89)+(AI2*AI89)+(AJ2*AJ89)+(AK2*AK89)+(AL2*AL89)+(AM2*AM89)+(AN2*AN89)+(AO2*AO89)+(AP2*AP89)+(AQ2*AQ89)+(AR2*AR89)+(AS2*AS89)+(AT2*AT89)+(AU2*AU89)+(AV2*AV89)+(AW2*AW89)+(AX2*AX89)+(AY2*AY89)+(AZ2*AZ89)+(BA2*BA89)+(BB2*BB89)+(BC2*BC89)+(BD2*BD89)+(BE2*BE89)+(BF2*BF89)+(BG2*BG89)+(BH2*BH89)+(BI2*BI89)+(BJ2*BJ89)+(BK2*BK89)+(BL2*BL89)+(BM2*BM89)+(BN2*BN89)+(BO2*BO89)+(BP2*BP89)+(BQ2*BQ89)+(BR2*BR89)+(BS2*BS89)+(BT2*BT89)+(BU2*BU89)+(BV2*BV89)+(BW2*BW89)+(BX2*BX89)+(BY2*BY89)+(BZ2*BZ89)+(CA2*CA89)+(CB2*CB89)+(CC2*CC89)+(CD2*CD89)</f>
        <v/>
      </c>
      <c r="L89" s="0">
        <f>K89-(K89*J89/100)</f>
        <v/>
      </c>
      <c r="M89" s="0">
        <f>ROUND(L89/1.11, 2)</f>
        <v/>
      </c>
      <c r="N89" s="0">
        <f>SUM(P89:CD89)</f>
        <v/>
      </c>
      <c r="O89" s="0">
        <f>COUNTIF(P89:CD89,"&gt;0")</f>
        <v/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</row>
    <row r="90" spans="1:82">
      <c r="A90" s="0">
        <v>88</v>
      </c>
      <c r="B90" s="0" t="inlineStr">
        <is>
          <t>2026-07-04</t>
        </is>
      </c>
      <c r="C90" s="0" t="inlineStr">
        <is>
          <t>71306765</t>
        </is>
      </c>
      <c r="D90" s="0" t="inlineStr">
        <is>
          <t>SMTR-04</t>
        </is>
      </c>
      <c r="E90" s="0" t="inlineStr">
        <is>
          <t>(1881583205)TOKO ZIDAN 09 </t>
        </is>
      </c>
      <c r="F90" s="0" t="inlineStr">
        <is>
          <t>WARUNG NOO</t>
        </is>
      </c>
      <c r="G90" s="0" t="inlineStr">
        <is>
          <t>WARUNG NOO</t>
        </is>
      </c>
      <c r="H90" s="0" t="inlineStr">
        <is>
          <t>Consignment</t>
        </is>
      </c>
      <c r="J90" s="0">
        <v>10</v>
      </c>
      <c r="K90" s="0">
        <f>(P2*P90)+(Q2*Q90)+(R2*R90)+(S2*S90)+(T2*T90)+(U2*U90)+(V2*V90)+(W2*W90)+(X2*X90)+(Y2*Y90)+(Z2*Z90)+(AA2*AA90)+(AB2*AB90)+(AC2*AC90)+(AD2*AD90)+(AE2*AE90)+(AF2*AF90)+(AG2*AG90)+(AH2*AH90)+(AI2*AI90)+(AJ2*AJ90)+(AK2*AK90)+(AL2*AL90)+(AM2*AM90)+(AN2*AN90)+(AO2*AO90)+(AP2*AP90)+(AQ2*AQ90)+(AR2*AR90)+(AS2*AS90)+(AT2*AT90)+(AU2*AU90)+(AV2*AV90)+(AW2*AW90)+(AX2*AX90)+(AY2*AY90)+(AZ2*AZ90)+(BA2*BA90)+(BB2*BB90)+(BC2*BC90)+(BD2*BD90)+(BE2*BE90)+(BF2*BF90)+(BG2*BG90)+(BH2*BH90)+(BI2*BI90)+(BJ2*BJ90)+(BK2*BK90)+(BL2*BL90)+(BM2*BM90)+(BN2*BN90)+(BO2*BO90)+(BP2*BP90)+(BQ2*BQ90)+(BR2*BR90)+(BS2*BS90)+(BT2*BT90)+(BU2*BU90)+(BV2*BV90)+(BW2*BW90)+(BX2*BX90)+(BY2*BY90)+(BZ2*BZ90)+(CA2*CA90)+(CB2*CB90)+(CC2*CC90)+(CD2*CD90)</f>
        <v/>
      </c>
      <c r="L90" s="0">
        <f>K90-(K90*J90/100)</f>
        <v/>
      </c>
      <c r="M90" s="0">
        <f>ROUND(L90/1.11, 2)</f>
        <v/>
      </c>
      <c r="N90" s="0">
        <f>SUM(P90:CD90)</f>
        <v/>
      </c>
      <c r="O90" s="0">
        <f>COUNTIF(P90:CD90,"&gt;0")</f>
        <v/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</row>
    <row r="91" spans="1:82">
      <c r="A91" s="0">
        <v>89</v>
      </c>
      <c r="B91" s="0" t="inlineStr">
        <is>
          <t>2026-07-04</t>
        </is>
      </c>
      <c r="C91" s="0" t="inlineStr">
        <is>
          <t>71306765</t>
        </is>
      </c>
      <c r="D91" s="0" t="inlineStr">
        <is>
          <t>SMTR-04</t>
        </is>
      </c>
      <c r="E91" s="0" t="inlineStr">
        <is>
          <t>(1881585869)TOKO DEPI BAROKAH 2</t>
        </is>
      </c>
      <c r="F91" s="0" t="inlineStr">
        <is>
          <t>WARUNG NOO</t>
        </is>
      </c>
      <c r="G91" s="0" t="inlineStr">
        <is>
          <t>WARUNG NOO</t>
        </is>
      </c>
      <c r="H91" s="0" t="inlineStr">
        <is>
          <t>Consignment</t>
        </is>
      </c>
      <c r="J91" s="0">
        <v>10</v>
      </c>
      <c r="K91" s="0">
        <f>(P2*P91)+(Q2*Q91)+(R2*R91)+(S2*S91)+(T2*T91)+(U2*U91)+(V2*V91)+(W2*W91)+(X2*X91)+(Y2*Y91)+(Z2*Z91)+(AA2*AA91)+(AB2*AB91)+(AC2*AC91)+(AD2*AD91)+(AE2*AE91)+(AF2*AF91)+(AG2*AG91)+(AH2*AH91)+(AI2*AI91)+(AJ2*AJ91)+(AK2*AK91)+(AL2*AL91)+(AM2*AM91)+(AN2*AN91)+(AO2*AO91)+(AP2*AP91)+(AQ2*AQ91)+(AR2*AR91)+(AS2*AS91)+(AT2*AT91)+(AU2*AU91)+(AV2*AV91)+(AW2*AW91)+(AX2*AX91)+(AY2*AY91)+(AZ2*AZ91)+(BA2*BA91)+(BB2*BB91)+(BC2*BC91)+(BD2*BD91)+(BE2*BE91)+(BF2*BF91)+(BG2*BG91)+(BH2*BH91)+(BI2*BI91)+(BJ2*BJ91)+(BK2*BK91)+(BL2*BL91)+(BM2*BM91)+(BN2*BN91)+(BO2*BO91)+(BP2*BP91)+(BQ2*BQ91)+(BR2*BR91)+(BS2*BS91)+(BT2*BT91)+(BU2*BU91)+(BV2*BV91)+(BW2*BW91)+(BX2*BX91)+(BY2*BY91)+(BZ2*BZ91)+(CA2*CA91)+(CB2*CB91)+(CC2*CC91)+(CD2*CD91)</f>
        <v/>
      </c>
      <c r="L91" s="0">
        <f>K91-(K91*J91/100)</f>
        <v/>
      </c>
      <c r="M91" s="0">
        <f>ROUND(L91/1.11, 2)</f>
        <v/>
      </c>
      <c r="N91" s="0">
        <f>SUM(P91:CD91)</f>
        <v/>
      </c>
      <c r="O91" s="0">
        <f>COUNTIF(P91:CD91,"&gt;0")</f>
        <v/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</row>
    <row r="92" spans="1:82">
      <c r="A92" s="0">
        <v>90</v>
      </c>
      <c r="B92" s="0" t="inlineStr">
        <is>
          <t>2026-07-04</t>
        </is>
      </c>
      <c r="C92" s="0" t="inlineStr">
        <is>
          <t>71306765</t>
        </is>
      </c>
      <c r="D92" s="0" t="inlineStr">
        <is>
          <t>SMTR-04</t>
        </is>
      </c>
      <c r="E92" s="0" t="inlineStr">
        <is>
          <t>(1881586658)TOKO UCOK</t>
        </is>
      </c>
      <c r="F92" s="0" t="inlineStr">
        <is>
          <t>WARUNG NOO</t>
        </is>
      </c>
      <c r="G92" s="0" t="inlineStr">
        <is>
          <t>WARUNG NOO</t>
        </is>
      </c>
      <c r="H92" s="0" t="inlineStr">
        <is>
          <t>Consignment</t>
        </is>
      </c>
      <c r="J92" s="0">
        <v>10</v>
      </c>
      <c r="K92" s="0">
        <f>(P2*P92)+(Q2*Q92)+(R2*R92)+(S2*S92)+(T2*T92)+(U2*U92)+(V2*V92)+(W2*W92)+(X2*X92)+(Y2*Y92)+(Z2*Z92)+(AA2*AA92)+(AB2*AB92)+(AC2*AC92)+(AD2*AD92)+(AE2*AE92)+(AF2*AF92)+(AG2*AG92)+(AH2*AH92)+(AI2*AI92)+(AJ2*AJ92)+(AK2*AK92)+(AL2*AL92)+(AM2*AM92)+(AN2*AN92)+(AO2*AO92)+(AP2*AP92)+(AQ2*AQ92)+(AR2*AR92)+(AS2*AS92)+(AT2*AT92)+(AU2*AU92)+(AV2*AV92)+(AW2*AW92)+(AX2*AX92)+(AY2*AY92)+(AZ2*AZ92)+(BA2*BA92)+(BB2*BB92)+(BC2*BC92)+(BD2*BD92)+(BE2*BE92)+(BF2*BF92)+(BG2*BG92)+(BH2*BH92)+(BI2*BI92)+(BJ2*BJ92)+(BK2*BK92)+(BL2*BL92)+(BM2*BM92)+(BN2*BN92)+(BO2*BO92)+(BP2*BP92)+(BQ2*BQ92)+(BR2*BR92)+(BS2*BS92)+(BT2*BT92)+(BU2*BU92)+(BV2*BV92)+(BW2*BW92)+(BX2*BX92)+(BY2*BY92)+(BZ2*BZ92)+(CA2*CA92)+(CB2*CB92)+(CC2*CC92)+(CD2*CD92)</f>
        <v/>
      </c>
      <c r="L92" s="0">
        <f>K92-(K92*J92/100)</f>
        <v/>
      </c>
      <c r="M92" s="0">
        <f>ROUND(L92/1.11, 2)</f>
        <v/>
      </c>
      <c r="N92" s="0">
        <f>SUM(P92:CD92)</f>
        <v/>
      </c>
      <c r="O92" s="0">
        <f>COUNTIF(P92:CD92,"&gt;0")</f>
        <v/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</row>
    <row r="93" spans="1:82">
      <c r="A93" s="0">
        <v>91</v>
      </c>
      <c r="B93" s="0" t="inlineStr">
        <is>
          <t>2026-07-04</t>
        </is>
      </c>
      <c r="C93" s="0" t="inlineStr">
        <is>
          <t>71306765</t>
        </is>
      </c>
      <c r="D93" s="0" t="inlineStr">
        <is>
          <t>SMTR-04</t>
        </is>
      </c>
      <c r="E93" s="0" t="inlineStr">
        <is>
          <t>(1881589045)BABAS WARUNG</t>
        </is>
      </c>
      <c r="F93" s="0" t="inlineStr">
        <is>
          <t>WARUNG NOO</t>
        </is>
      </c>
      <c r="G93" s="0" t="inlineStr">
        <is>
          <t>WARUNG NOO</t>
        </is>
      </c>
      <c r="H93" s="0" t="inlineStr">
        <is>
          <t>Consignment</t>
        </is>
      </c>
      <c r="J93" s="0">
        <v>10</v>
      </c>
      <c r="K93" s="0">
        <f>(P2*P93)+(Q2*Q93)+(R2*R93)+(S2*S93)+(T2*T93)+(U2*U93)+(V2*V93)+(W2*W93)+(X2*X93)+(Y2*Y93)+(Z2*Z93)+(AA2*AA93)+(AB2*AB93)+(AC2*AC93)+(AD2*AD93)+(AE2*AE93)+(AF2*AF93)+(AG2*AG93)+(AH2*AH93)+(AI2*AI93)+(AJ2*AJ93)+(AK2*AK93)+(AL2*AL93)+(AM2*AM93)+(AN2*AN93)+(AO2*AO93)+(AP2*AP93)+(AQ2*AQ93)+(AR2*AR93)+(AS2*AS93)+(AT2*AT93)+(AU2*AU93)+(AV2*AV93)+(AW2*AW93)+(AX2*AX93)+(AY2*AY93)+(AZ2*AZ93)+(BA2*BA93)+(BB2*BB93)+(BC2*BC93)+(BD2*BD93)+(BE2*BE93)+(BF2*BF93)+(BG2*BG93)+(BH2*BH93)+(BI2*BI93)+(BJ2*BJ93)+(BK2*BK93)+(BL2*BL93)+(BM2*BM93)+(BN2*BN93)+(BO2*BO93)+(BP2*BP93)+(BQ2*BQ93)+(BR2*BR93)+(BS2*BS93)+(BT2*BT93)+(BU2*BU93)+(BV2*BV93)+(BW2*BW93)+(BX2*BX93)+(BY2*BY93)+(BZ2*BZ93)+(CA2*CA93)+(CB2*CB93)+(CC2*CC93)+(CD2*CD93)</f>
        <v/>
      </c>
      <c r="L93" s="0">
        <f>K93-(K93*J93/100)</f>
        <v/>
      </c>
      <c r="M93" s="0">
        <f>ROUND(L93/1.11, 2)</f>
        <v/>
      </c>
      <c r="N93" s="0">
        <f>SUM(P93:CD93)</f>
        <v/>
      </c>
      <c r="O93" s="0">
        <f>COUNTIF(P93:CD93,"&gt;0")</f>
        <v/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</row>
    <row r="94" spans="1:82">
      <c r="A94" s="0">
        <v>92</v>
      </c>
      <c r="B94" s="0" t="inlineStr">
        <is>
          <t>2026-07-04</t>
        </is>
      </c>
      <c r="C94" s="0" t="inlineStr">
        <is>
          <t>71306765</t>
        </is>
      </c>
      <c r="D94" s="0" t="inlineStr">
        <is>
          <t>SMTR-04</t>
        </is>
      </c>
      <c r="E94" s="0" t="inlineStr">
        <is>
          <t>(1881589048)EL-MART TOKO</t>
        </is>
      </c>
      <c r="F94" s="0" t="inlineStr">
        <is>
          <t>WARUNG NOO</t>
        </is>
      </c>
      <c r="G94" s="0" t="inlineStr">
        <is>
          <t>WARUNG NOO</t>
        </is>
      </c>
      <c r="H94" s="0" t="inlineStr">
        <is>
          <t>Consignment</t>
        </is>
      </c>
      <c r="J94" s="0">
        <v>10</v>
      </c>
      <c r="K94" s="0">
        <f>(P2*P94)+(Q2*Q94)+(R2*R94)+(S2*S94)+(T2*T94)+(U2*U94)+(V2*V94)+(W2*W94)+(X2*X94)+(Y2*Y94)+(Z2*Z94)+(AA2*AA94)+(AB2*AB94)+(AC2*AC94)+(AD2*AD94)+(AE2*AE94)+(AF2*AF94)+(AG2*AG94)+(AH2*AH94)+(AI2*AI94)+(AJ2*AJ94)+(AK2*AK94)+(AL2*AL94)+(AM2*AM94)+(AN2*AN94)+(AO2*AO94)+(AP2*AP94)+(AQ2*AQ94)+(AR2*AR94)+(AS2*AS94)+(AT2*AT94)+(AU2*AU94)+(AV2*AV94)+(AW2*AW94)+(AX2*AX94)+(AY2*AY94)+(AZ2*AZ94)+(BA2*BA94)+(BB2*BB94)+(BC2*BC94)+(BD2*BD94)+(BE2*BE94)+(BF2*BF94)+(BG2*BG94)+(BH2*BH94)+(BI2*BI94)+(BJ2*BJ94)+(BK2*BK94)+(BL2*BL94)+(BM2*BM94)+(BN2*BN94)+(BO2*BO94)+(BP2*BP94)+(BQ2*BQ94)+(BR2*BR94)+(BS2*BS94)+(BT2*BT94)+(BU2*BU94)+(BV2*BV94)+(BW2*BW94)+(BX2*BX94)+(BY2*BY94)+(BZ2*BZ94)+(CA2*CA94)+(CB2*CB94)+(CC2*CC94)+(CD2*CD94)</f>
        <v/>
      </c>
      <c r="L94" s="0">
        <f>K94-(K94*J94/100)</f>
        <v/>
      </c>
      <c r="M94" s="0">
        <f>ROUND(L94/1.11, 2)</f>
        <v/>
      </c>
      <c r="N94" s="0">
        <f>SUM(P94:CD94)</f>
        <v/>
      </c>
      <c r="O94" s="0">
        <f>COUNTIF(P94:CD94,"&gt;0")</f>
        <v/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</row>
    <row r="95" spans="1:82">
      <c r="A95" s="0">
        <v>93</v>
      </c>
      <c r="B95" s="0" t="inlineStr">
        <is>
          <t>2026-07-04</t>
        </is>
      </c>
      <c r="C95" s="0" t="inlineStr">
        <is>
          <t>71306765</t>
        </is>
      </c>
      <c r="D95" s="0" t="inlineStr">
        <is>
          <t>SMTR-04</t>
        </is>
      </c>
      <c r="E95" s="0" t="inlineStr">
        <is>
          <t>(1881589050)CAHAYA FOTOCOPY</t>
        </is>
      </c>
      <c r="F95" s="0" t="inlineStr">
        <is>
          <t>WARUNG NOO</t>
        </is>
      </c>
      <c r="G95" s="0" t="inlineStr">
        <is>
          <t>WARUNG NOO</t>
        </is>
      </c>
      <c r="H95" s="0" t="inlineStr">
        <is>
          <t>Consignment</t>
        </is>
      </c>
      <c r="J95" s="0">
        <v>10</v>
      </c>
      <c r="K95" s="0">
        <f>(P2*P95)+(Q2*Q95)+(R2*R95)+(S2*S95)+(T2*T95)+(U2*U95)+(V2*V95)+(W2*W95)+(X2*X95)+(Y2*Y95)+(Z2*Z95)+(AA2*AA95)+(AB2*AB95)+(AC2*AC95)+(AD2*AD95)+(AE2*AE95)+(AF2*AF95)+(AG2*AG95)+(AH2*AH95)+(AI2*AI95)+(AJ2*AJ95)+(AK2*AK95)+(AL2*AL95)+(AM2*AM95)+(AN2*AN95)+(AO2*AO95)+(AP2*AP95)+(AQ2*AQ95)+(AR2*AR95)+(AS2*AS95)+(AT2*AT95)+(AU2*AU95)+(AV2*AV95)+(AW2*AW95)+(AX2*AX95)+(AY2*AY95)+(AZ2*AZ95)+(BA2*BA95)+(BB2*BB95)+(BC2*BC95)+(BD2*BD95)+(BE2*BE95)+(BF2*BF95)+(BG2*BG95)+(BH2*BH95)+(BI2*BI95)+(BJ2*BJ95)+(BK2*BK95)+(BL2*BL95)+(BM2*BM95)+(BN2*BN95)+(BO2*BO95)+(BP2*BP95)+(BQ2*BQ95)+(BR2*BR95)+(BS2*BS95)+(BT2*BT95)+(BU2*BU95)+(BV2*BV95)+(BW2*BW95)+(BX2*BX95)+(BY2*BY95)+(BZ2*BZ95)+(CA2*CA95)+(CB2*CB95)+(CC2*CC95)+(CD2*CD95)</f>
        <v/>
      </c>
      <c r="L95" s="0">
        <f>K95-(K95*J95/100)</f>
        <v/>
      </c>
      <c r="M95" s="0">
        <f>ROUND(L95/1.11, 2)</f>
        <v/>
      </c>
      <c r="N95" s="0">
        <f>SUM(P95:CD95)</f>
        <v/>
      </c>
      <c r="O95" s="0">
        <f>COUNTIF(P95:CD95,"&gt;0")</f>
        <v/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</row>
    <row r="96" spans="1:82">
      <c r="A96" s="0">
        <v>94</v>
      </c>
      <c r="B96" s="0" t="inlineStr">
        <is>
          <t>2026-07-04</t>
        </is>
      </c>
      <c r="C96" s="0" t="inlineStr">
        <is>
          <t>71306765</t>
        </is>
      </c>
      <c r="D96" s="0" t="inlineStr">
        <is>
          <t>SMTR-04</t>
        </is>
      </c>
      <c r="E96" s="0" t="inlineStr">
        <is>
          <t>(1881590512)ITA FROZEN FOOD TOKO</t>
        </is>
      </c>
      <c r="F96" s="0" t="inlineStr">
        <is>
          <t>WARUNG NOO</t>
        </is>
      </c>
      <c r="G96" s="0" t="inlineStr">
        <is>
          <t>WARUNG NOO</t>
        </is>
      </c>
      <c r="H96" s="0" t="inlineStr">
        <is>
          <t>Consignment</t>
        </is>
      </c>
      <c r="J96" s="0">
        <v>10</v>
      </c>
      <c r="K96" s="0">
        <f>(P2*P96)+(Q2*Q96)+(R2*R96)+(S2*S96)+(T2*T96)+(U2*U96)+(V2*V96)+(W2*W96)+(X2*X96)+(Y2*Y96)+(Z2*Z96)+(AA2*AA96)+(AB2*AB96)+(AC2*AC96)+(AD2*AD96)+(AE2*AE96)+(AF2*AF96)+(AG2*AG96)+(AH2*AH96)+(AI2*AI96)+(AJ2*AJ96)+(AK2*AK96)+(AL2*AL96)+(AM2*AM96)+(AN2*AN96)+(AO2*AO96)+(AP2*AP96)+(AQ2*AQ96)+(AR2*AR96)+(AS2*AS96)+(AT2*AT96)+(AU2*AU96)+(AV2*AV96)+(AW2*AW96)+(AX2*AX96)+(AY2*AY96)+(AZ2*AZ96)+(BA2*BA96)+(BB2*BB96)+(BC2*BC96)+(BD2*BD96)+(BE2*BE96)+(BF2*BF96)+(BG2*BG96)+(BH2*BH96)+(BI2*BI96)+(BJ2*BJ96)+(BK2*BK96)+(BL2*BL96)+(BM2*BM96)+(BN2*BN96)+(BO2*BO96)+(BP2*BP96)+(BQ2*BQ96)+(BR2*BR96)+(BS2*BS96)+(BT2*BT96)+(BU2*BU96)+(BV2*BV96)+(BW2*BW96)+(BX2*BX96)+(BY2*BY96)+(BZ2*BZ96)+(CA2*CA96)+(CB2*CB96)+(CC2*CC96)+(CD2*CD96)</f>
        <v/>
      </c>
      <c r="L96" s="0">
        <f>K96-(K96*J96/100)</f>
        <v/>
      </c>
      <c r="M96" s="0">
        <f>ROUND(L96/1.11, 2)</f>
        <v/>
      </c>
      <c r="N96" s="0">
        <f>SUM(P96:CD96)</f>
        <v/>
      </c>
      <c r="O96" s="0">
        <f>COUNTIF(P96:CD96,"&gt;0")</f>
        <v/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</row>
    <row r="97" spans="1:82">
      <c r="A97" s="0" t="inlineStr">
        <is>
          <t> </t>
        </is>
      </c>
      <c r="B97" s="0" t="inlineStr">
        <is>
          <t>Total</t>
        </is>
      </c>
      <c r="C97" s="0" t="inlineStr">
        <is>
          <t> </t>
        </is>
      </c>
      <c r="D97" s="0" t="inlineStr">
        <is>
          <t> </t>
        </is>
      </c>
      <c r="E97" s="0" t="inlineStr">
        <is>
          <t> </t>
        </is>
      </c>
      <c r="F97" s="0" t="inlineStr">
        <is>
          <t> </t>
        </is>
      </c>
      <c r="G97" s="0" t="inlineStr">
        <is>
          <t> </t>
        </is>
      </c>
      <c r="H97" s="0" t="inlineStr">
        <is>
          <t> </t>
        </is>
      </c>
      <c r="I97" s="0" t="inlineStr">
        <is>
          <t> </t>
        </is>
      </c>
      <c r="J97" s="0" t="inlineStr">
        <is>
          <t> </t>
        </is>
      </c>
      <c r="K97" s="0">
        <f>SUM(K3:K96)</f>
        <v/>
      </c>
      <c r="L97" s="0">
        <f>SUM(L3:L96)</f>
        <v/>
      </c>
      <c r="M97" s="0">
        <f>SUM(M3:M96)</f>
        <v/>
      </c>
      <c r="N97" s="0">
        <f>SUM(N3:N96)</f>
        <v/>
      </c>
      <c r="O97" s="0">
        <f>SUM(O3:O96)</f>
        <v/>
      </c>
      <c r="P97" s="0">
        <f>SUM(P3:P96)</f>
        <v/>
      </c>
      <c r="Q97" s="0">
        <f>SUM(Q3:Q96)</f>
        <v/>
      </c>
      <c r="R97" s="0">
        <f>SUM(R3:R96)</f>
        <v/>
      </c>
      <c r="S97" s="0">
        <f>SUM(S3:S96)</f>
        <v/>
      </c>
      <c r="T97" s="0">
        <f>SUM(T3:T96)</f>
        <v/>
      </c>
      <c r="U97" s="0">
        <f>SUM(U3:U96)</f>
        <v/>
      </c>
      <c r="V97" s="0">
        <f>SUM(V3:V96)</f>
        <v/>
      </c>
      <c r="W97" s="0">
        <f>SUM(W3:W96)</f>
        <v/>
      </c>
      <c r="X97" s="0">
        <f>SUM(X3:X96)</f>
        <v/>
      </c>
      <c r="Y97" s="0">
        <f>SUM(Y3:Y96)</f>
        <v/>
      </c>
      <c r="Z97" s="0">
        <f>SUM(Z3:Z96)</f>
        <v/>
      </c>
      <c r="AA97" s="0">
        <f>SUM(AA3:AA96)</f>
        <v/>
      </c>
      <c r="AB97" s="0">
        <f>SUM(AB3:AB96)</f>
        <v/>
      </c>
      <c r="AC97" s="0">
        <f>SUM(AC3:AC96)</f>
        <v/>
      </c>
      <c r="AD97" s="0">
        <f>SUM(AD3:AD96)</f>
        <v/>
      </c>
      <c r="AE97" s="0">
        <f>SUM(AE3:AE96)</f>
        <v/>
      </c>
      <c r="AF97" s="0">
        <f>SUM(AF3:AF96)</f>
        <v/>
      </c>
      <c r="AG97" s="0">
        <f>SUM(AG3:AG96)</f>
        <v/>
      </c>
      <c r="AH97" s="0">
        <f>SUM(AH3:AH96)</f>
        <v/>
      </c>
      <c r="AI97" s="0">
        <f>SUM(AI3:AI96)</f>
        <v/>
      </c>
      <c r="AJ97" s="0">
        <f>SUM(AJ3:AJ96)</f>
        <v/>
      </c>
      <c r="AK97" s="0">
        <f>SUM(AK3:AK96)</f>
        <v/>
      </c>
      <c r="AL97" s="0">
        <f>SUM(AL3:AL96)</f>
        <v/>
      </c>
      <c r="AM97" s="0">
        <f>SUM(AM3:AM96)</f>
        <v/>
      </c>
      <c r="AN97" s="0">
        <f>SUM(AN3:AN96)</f>
        <v/>
      </c>
      <c r="AO97" s="0">
        <f>SUM(AO3:AO96)</f>
        <v/>
      </c>
      <c r="AP97" s="0">
        <f>SUM(AP3:AP96)</f>
        <v/>
      </c>
      <c r="AQ97" s="0">
        <f>SUM(AQ3:AQ96)</f>
        <v/>
      </c>
      <c r="AR97" s="0">
        <f>SUM(AR3:AR96)</f>
        <v/>
      </c>
      <c r="AS97" s="0">
        <f>SUM(AS3:AS96)</f>
        <v/>
      </c>
      <c r="AT97" s="0">
        <f>SUM(AT3:AT96)</f>
        <v/>
      </c>
      <c r="AU97" s="0">
        <f>SUM(AU3:AU96)</f>
        <v/>
      </c>
      <c r="AV97" s="0">
        <f>SUM(AV3:AV96)</f>
        <v/>
      </c>
      <c r="AW97" s="0">
        <f>SUM(AW3:AW96)</f>
        <v/>
      </c>
      <c r="AX97" s="0">
        <f>SUM(AX3:AX96)</f>
        <v/>
      </c>
      <c r="AY97" s="0">
        <f>SUM(AY3:AY96)</f>
        <v/>
      </c>
      <c r="AZ97" s="0">
        <f>SUM(AZ3:AZ96)</f>
        <v/>
      </c>
      <c r="BA97" s="0">
        <f>SUM(BA3:BA96)</f>
        <v/>
      </c>
      <c r="BB97" s="0">
        <f>SUM(BB3:BB96)</f>
        <v/>
      </c>
      <c r="BC97" s="0">
        <f>SUM(BC3:BC96)</f>
        <v/>
      </c>
      <c r="BD97" s="0">
        <f>SUM(BD3:BD96)</f>
        <v/>
      </c>
      <c r="BE97" s="0">
        <f>SUM(BE3:BE96)</f>
        <v/>
      </c>
      <c r="BF97" s="0">
        <f>SUM(BF3:BF96)</f>
        <v/>
      </c>
      <c r="BG97" s="0">
        <f>SUM(BG3:BG96)</f>
        <v/>
      </c>
      <c r="BH97" s="0">
        <f>SUM(BH3:BH96)</f>
        <v/>
      </c>
      <c r="BI97" s="0">
        <f>SUM(BI3:BI96)</f>
        <v/>
      </c>
      <c r="BJ97" s="0">
        <f>SUM(BJ3:BJ96)</f>
        <v/>
      </c>
      <c r="BK97" s="0">
        <f>SUM(BK3:BK96)</f>
        <v/>
      </c>
      <c r="BL97" s="0">
        <f>SUM(BL3:BL96)</f>
        <v/>
      </c>
      <c r="BM97" s="0">
        <f>SUM(BM3:BM96)</f>
        <v/>
      </c>
      <c r="BN97" s="0">
        <f>SUM(BN3:BN96)</f>
        <v/>
      </c>
      <c r="BO97" s="0">
        <f>SUM(BO3:BO96)</f>
        <v/>
      </c>
      <c r="BP97" s="0">
        <f>SUM(BP3:BP96)</f>
        <v/>
      </c>
      <c r="BQ97" s="0">
        <f>SUM(BQ3:BQ96)</f>
        <v/>
      </c>
      <c r="BR97" s="0">
        <f>SUM(BR3:BR96)</f>
        <v/>
      </c>
      <c r="BS97" s="0">
        <f>SUM(BS3:BS96)</f>
        <v/>
      </c>
      <c r="BT97" s="0">
        <f>SUM(BT3:BT96)</f>
        <v/>
      </c>
      <c r="BU97" s="0">
        <f>SUM(BU3:BU96)</f>
        <v/>
      </c>
      <c r="BV97" s="0">
        <f>SUM(BV3:BV96)</f>
        <v/>
      </c>
      <c r="BW97" s="0">
        <f>SUM(BW3:BW96)</f>
        <v/>
      </c>
      <c r="BX97" s="0">
        <f>SUM(BX3:BX96)</f>
        <v/>
      </c>
      <c r="BY97" s="0">
        <f>SUM(BY3:BY96)</f>
        <v/>
      </c>
      <c r="BZ97" s="0">
        <f>SUM(BZ3:BZ96)</f>
        <v/>
      </c>
      <c r="CA97" s="0">
        <f>SUM(CA3:CA96)</f>
        <v/>
      </c>
      <c r="CB97" s="0">
        <f>SUM(CB3:CB96)</f>
        <v/>
      </c>
      <c r="CC97" s="0">
        <f>SUM(CC3:CC96)</f>
        <v/>
      </c>
      <c r="CD97" s="0">
        <f>SUM(CD3:CD96)</f>
        <v/>
      </c>
    </row>
    <row r="98" spans="1:82">
      <c r="A98" s="0">
        <v>1</v>
      </c>
      <c r="B98" s="0" t="inlineStr">
        <is>
          <t>2026-07-04</t>
        </is>
      </c>
      <c r="C98" s="0" t="inlineStr">
        <is>
          <t>71306761</t>
        </is>
      </c>
      <c r="D98" s="0" t="inlineStr">
        <is>
          <t>SMTR-01</t>
        </is>
      </c>
      <c r="E98" s="0" t="inlineStr">
        <is>
          <t>kuota</t>
        </is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</row>
    <row r="99" spans="1:82">
      <c r="A99" s="0">
        <v>2</v>
      </c>
      <c r="B99" s="0" t="inlineStr">
        <is>
          <t>2026-07-04</t>
        </is>
      </c>
      <c r="C99" s="0" t="inlineStr">
        <is>
          <t>71306761</t>
        </is>
      </c>
      <c r="D99" s="0" t="inlineStr">
        <is>
          <t>SMTR-01</t>
        </is>
      </c>
      <c r="E99" s="0" t="inlineStr">
        <is>
          <t>Total Estimasi</t>
        </is>
      </c>
      <c r="P99" s="0">
        <f>SUMIF(D3:D96,D98,P3:P96)</f>
        <v/>
      </c>
      <c r="Q99" s="0">
        <f>SUMIF(D3:D96,D98,Q3:Q96)</f>
        <v/>
      </c>
      <c r="R99" s="0">
        <f>SUMIF(D3:D96,D98,R3:R96)</f>
        <v/>
      </c>
      <c r="S99" s="0">
        <f>SUMIF(D3:D96,D98,S3:S96)</f>
        <v/>
      </c>
      <c r="T99" s="0">
        <f>SUMIF(D3:D96,D98,T3:T96)</f>
        <v/>
      </c>
      <c r="U99" s="0">
        <f>SUMIF(D3:D96,D98,U3:U96)</f>
        <v/>
      </c>
      <c r="V99" s="0">
        <f>SUMIF(D3:D96,D98,V3:V96)</f>
        <v/>
      </c>
      <c r="W99" s="0">
        <f>SUMIF(D3:D96,D98,W3:W96)</f>
        <v/>
      </c>
      <c r="X99" s="0">
        <f>SUMIF(D3:D96,D98,X3:X96)</f>
        <v/>
      </c>
      <c r="Y99" s="0">
        <f>SUMIF(D3:D96,D98,Y3:Y96)</f>
        <v/>
      </c>
      <c r="Z99" s="0">
        <f>SUMIF(D3:D96,D98,Z3:Z96)</f>
        <v/>
      </c>
      <c r="AA99" s="0">
        <f>SUMIF(D3:D96,D98,AA3:AA96)</f>
        <v/>
      </c>
      <c r="AB99" s="0">
        <f>SUMIF(D3:D96,D98,AB3:AB96)</f>
        <v/>
      </c>
      <c r="AC99" s="0">
        <f>SUMIF(D3:D96,D98,AC3:AC96)</f>
        <v/>
      </c>
      <c r="AD99" s="0">
        <f>SUMIF(D3:D96,D98,AD3:AD96)</f>
        <v/>
      </c>
      <c r="AE99" s="0">
        <f>SUMIF(D3:D96,D98,AE3:AE96)</f>
        <v/>
      </c>
      <c r="AF99" s="0">
        <f>SUMIF(D3:D96,D98,AF3:AF96)</f>
        <v/>
      </c>
      <c r="AG99" s="0">
        <f>SUMIF(D3:D96,D98,AG3:AG96)</f>
        <v/>
      </c>
      <c r="AH99" s="0">
        <f>SUMIF(D3:D96,D98,AH3:AH96)</f>
        <v/>
      </c>
      <c r="AI99" s="0">
        <f>SUMIF(D3:D96,D98,AI3:AI96)</f>
        <v/>
      </c>
      <c r="AJ99" s="0">
        <f>SUMIF(D3:D96,D98,AJ3:AJ96)</f>
        <v/>
      </c>
      <c r="AK99" s="0">
        <f>SUMIF(D3:D96,D98,AK3:AK96)</f>
        <v/>
      </c>
      <c r="AL99" s="0">
        <f>SUMIF(D3:D96,D98,AL3:AL96)</f>
        <v/>
      </c>
      <c r="AM99" s="0">
        <f>SUMIF(D3:D96,D98,AM3:AM96)</f>
        <v/>
      </c>
      <c r="AN99" s="0">
        <f>SUMIF(D3:D96,D98,AN3:AN96)</f>
        <v/>
      </c>
      <c r="AO99" s="0">
        <f>SUMIF(D3:D96,D98,AO3:AO96)</f>
        <v/>
      </c>
      <c r="AP99" s="0">
        <f>SUMIF(D3:D96,D98,AP3:AP96)</f>
        <v/>
      </c>
      <c r="AQ99" s="0">
        <f>SUMIF(D3:D96,D98,AQ3:AQ96)</f>
        <v/>
      </c>
      <c r="AR99" s="0">
        <f>SUMIF(D3:D96,D98,AR3:AR96)</f>
        <v/>
      </c>
      <c r="AS99" s="0">
        <f>SUMIF(D3:D96,D98,AS3:AS96)</f>
        <v/>
      </c>
      <c r="AT99" s="0">
        <f>SUMIF(D3:D96,D98,AT3:AT96)</f>
        <v/>
      </c>
      <c r="AU99" s="0">
        <f>SUMIF(D3:D96,D98,AU3:AU96)</f>
        <v/>
      </c>
      <c r="AV99" s="0">
        <f>SUMIF(D3:D96,D98,AV3:AV96)</f>
        <v/>
      </c>
      <c r="AW99" s="0">
        <f>SUMIF(D3:D96,D98,AW3:AW96)</f>
        <v/>
      </c>
      <c r="AX99" s="0">
        <f>SUMIF(D3:D96,D98,AX3:AX96)</f>
        <v/>
      </c>
      <c r="AY99" s="0">
        <f>SUMIF(D3:D96,D98,AY3:AY96)</f>
        <v/>
      </c>
      <c r="AZ99" s="0">
        <f>SUMIF(D3:D96,D98,AZ3:AZ96)</f>
        <v/>
      </c>
      <c r="BA99" s="0">
        <f>SUMIF(D3:D96,D98,BA3:BA96)</f>
        <v/>
      </c>
      <c r="BB99" s="0">
        <f>SUMIF(D3:D96,D98,BB3:BB96)</f>
        <v/>
      </c>
      <c r="BC99" s="0">
        <f>SUMIF(D3:D96,D98,BC3:BC96)</f>
        <v/>
      </c>
      <c r="BD99" s="0">
        <f>SUMIF(D3:D96,D98,BD3:BD96)</f>
        <v/>
      </c>
      <c r="BE99" s="0">
        <f>SUMIF(D3:D96,D98,BE3:BE96)</f>
        <v/>
      </c>
      <c r="BF99" s="0">
        <f>SUMIF(D3:D96,D98,BF3:BF96)</f>
        <v/>
      </c>
      <c r="BG99" s="0">
        <f>SUMIF(D3:D96,D98,BG3:BG96)</f>
        <v/>
      </c>
      <c r="BH99" s="0">
        <f>SUMIF(D3:D96,D98,BH3:BH96)</f>
        <v/>
      </c>
      <c r="BI99" s="0">
        <f>SUMIF(D3:D96,D98,BI3:BI96)</f>
        <v/>
      </c>
      <c r="BJ99" s="0">
        <f>SUMIF(D3:D96,D98,BJ3:BJ96)</f>
        <v/>
      </c>
      <c r="BK99" s="0">
        <f>SUMIF(D3:D96,D98,BK3:BK96)</f>
        <v/>
      </c>
      <c r="BL99" s="0">
        <f>SUMIF(D3:D96,D98,BL3:BL96)</f>
        <v/>
      </c>
      <c r="BM99" s="0">
        <f>SUMIF(D3:D96,D98,BM3:BM96)</f>
        <v/>
      </c>
      <c r="BN99" s="0">
        <f>SUMIF(D3:D96,D98,BN3:BN96)</f>
        <v/>
      </c>
      <c r="BO99" s="0">
        <f>SUMIF(D3:D96,D98,BO3:BO96)</f>
        <v/>
      </c>
      <c r="BP99" s="0">
        <f>SUMIF(D3:D96,D98,BP3:BP96)</f>
        <v/>
      </c>
      <c r="BQ99" s="0">
        <f>SUMIF(D3:D96,D98,BQ3:BQ96)</f>
        <v/>
      </c>
      <c r="BR99" s="0">
        <f>SUMIF(D3:D96,D98,BR3:BR96)</f>
        <v/>
      </c>
      <c r="BS99" s="0">
        <f>SUMIF(D3:D96,D98,BS3:BS96)</f>
        <v/>
      </c>
      <c r="BT99" s="0">
        <f>SUMIF(D3:D96,D98,BT3:BT96)</f>
        <v/>
      </c>
      <c r="BU99" s="0">
        <f>SUMIF(D3:D96,D98,BU3:BU96)</f>
        <v/>
      </c>
      <c r="BV99" s="0">
        <f>SUMIF(D3:D96,D98,BV3:BV96)</f>
        <v/>
      </c>
      <c r="BW99" s="0">
        <f>SUMIF(D3:D96,D98,BW3:BW96)</f>
        <v/>
      </c>
      <c r="BX99" s="0">
        <f>SUMIF(D3:D96,D98,BX3:BX96)</f>
        <v/>
      </c>
      <c r="BY99" s="0">
        <f>SUMIF(D3:D96,D98,BY3:BY96)</f>
        <v/>
      </c>
      <c r="BZ99" s="0">
        <f>SUMIF(D3:D96,D98,BZ3:BZ96)</f>
        <v/>
      </c>
      <c r="CA99" s="0">
        <f>SUMIF(D3:D96,D98,CA3:CA96)</f>
        <v/>
      </c>
      <c r="CB99" s="0">
        <f>SUMIF(D3:D96,D98,CB3:CB96)</f>
        <v/>
      </c>
      <c r="CC99" s="0">
        <f>SUMIF(D3:D96,D98,CC3:CC96)</f>
        <v/>
      </c>
      <c r="CD99" s="0">
        <f>SUMIF(D3:D96,D98,CD3:CD96)</f>
        <v/>
      </c>
    </row>
    <row r="100" spans="1:82">
      <c r="A100" s="0">
        <v>3</v>
      </c>
      <c r="B100" s="0" t="inlineStr">
        <is>
          <t>2026-07-04</t>
        </is>
      </c>
      <c r="C100" s="0" t="inlineStr">
        <is>
          <t>71306762</t>
        </is>
      </c>
      <c r="D100" s="0" t="inlineStr">
        <is>
          <t>SMTR_02</t>
        </is>
      </c>
      <c r="E100" s="0" t="inlineStr">
        <is>
          <t>kuota</t>
        </is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</row>
    <row r="101" spans="1:82">
      <c r="A101" s="0">
        <v>4</v>
      </c>
      <c r="B101" s="0" t="inlineStr">
        <is>
          <t>2026-07-04</t>
        </is>
      </c>
      <c r="C101" s="0" t="inlineStr">
        <is>
          <t>71306762</t>
        </is>
      </c>
      <c r="D101" s="0" t="inlineStr">
        <is>
          <t>SMTR_02</t>
        </is>
      </c>
      <c r="E101" s="0" t="inlineStr">
        <is>
          <t>Total Estimasi</t>
        </is>
      </c>
      <c r="P101" s="0">
        <f>SUMIF(D3:D96,D100,P3:P96)</f>
        <v/>
      </c>
      <c r="Q101" s="0">
        <f>SUMIF(D3:D96,D100,Q3:Q96)</f>
        <v/>
      </c>
      <c r="R101" s="0">
        <f>SUMIF(D3:D96,D100,R3:R96)</f>
        <v/>
      </c>
      <c r="S101" s="0">
        <f>SUMIF(D3:D96,D100,S3:S96)</f>
        <v/>
      </c>
      <c r="T101" s="0">
        <f>SUMIF(D3:D96,D100,T3:T96)</f>
        <v/>
      </c>
      <c r="U101" s="0">
        <f>SUMIF(D3:D96,D100,U3:U96)</f>
        <v/>
      </c>
      <c r="V101" s="0">
        <f>SUMIF(D3:D96,D100,V3:V96)</f>
        <v/>
      </c>
      <c r="W101" s="0">
        <f>SUMIF(D3:D96,D100,W3:W96)</f>
        <v/>
      </c>
      <c r="X101" s="0">
        <f>SUMIF(D3:D96,D100,X3:X96)</f>
        <v/>
      </c>
      <c r="Y101" s="0">
        <f>SUMIF(D3:D96,D100,Y3:Y96)</f>
        <v/>
      </c>
      <c r="Z101" s="0">
        <f>SUMIF(D3:D96,D100,Z3:Z96)</f>
        <v/>
      </c>
      <c r="AA101" s="0">
        <f>SUMIF(D3:D96,D100,AA3:AA96)</f>
        <v/>
      </c>
      <c r="AB101" s="0">
        <f>SUMIF(D3:D96,D100,AB3:AB96)</f>
        <v/>
      </c>
      <c r="AC101" s="0">
        <f>SUMIF(D3:D96,D100,AC3:AC96)</f>
        <v/>
      </c>
      <c r="AD101" s="0">
        <f>SUMIF(D3:D96,D100,AD3:AD96)</f>
        <v/>
      </c>
      <c r="AE101" s="0">
        <f>SUMIF(D3:D96,D100,AE3:AE96)</f>
        <v/>
      </c>
      <c r="AF101" s="0">
        <f>SUMIF(D3:D96,D100,AF3:AF96)</f>
        <v/>
      </c>
      <c r="AG101" s="0">
        <f>SUMIF(D3:D96,D100,AG3:AG96)</f>
        <v/>
      </c>
      <c r="AH101" s="0">
        <f>SUMIF(D3:D96,D100,AH3:AH96)</f>
        <v/>
      </c>
      <c r="AI101" s="0">
        <f>SUMIF(D3:D96,D100,AI3:AI96)</f>
        <v/>
      </c>
      <c r="AJ101" s="0">
        <f>SUMIF(D3:D96,D100,AJ3:AJ96)</f>
        <v/>
      </c>
      <c r="AK101" s="0">
        <f>SUMIF(D3:D96,D100,AK3:AK96)</f>
        <v/>
      </c>
      <c r="AL101" s="0">
        <f>SUMIF(D3:D96,D100,AL3:AL96)</f>
        <v/>
      </c>
      <c r="AM101" s="0">
        <f>SUMIF(D3:D96,D100,AM3:AM96)</f>
        <v/>
      </c>
      <c r="AN101" s="0">
        <f>SUMIF(D3:D96,D100,AN3:AN96)</f>
        <v/>
      </c>
      <c r="AO101" s="0">
        <f>SUMIF(D3:D96,D100,AO3:AO96)</f>
        <v/>
      </c>
      <c r="AP101" s="0">
        <f>SUMIF(D3:D96,D100,AP3:AP96)</f>
        <v/>
      </c>
      <c r="AQ101" s="0">
        <f>SUMIF(D3:D96,D100,AQ3:AQ96)</f>
        <v/>
      </c>
      <c r="AR101" s="0">
        <f>SUMIF(D3:D96,D100,AR3:AR96)</f>
        <v/>
      </c>
      <c r="AS101" s="0">
        <f>SUMIF(D3:D96,D100,AS3:AS96)</f>
        <v/>
      </c>
      <c r="AT101" s="0">
        <f>SUMIF(D3:D96,D100,AT3:AT96)</f>
        <v/>
      </c>
      <c r="AU101" s="0">
        <f>SUMIF(D3:D96,D100,AU3:AU96)</f>
        <v/>
      </c>
      <c r="AV101" s="0">
        <f>SUMIF(D3:D96,D100,AV3:AV96)</f>
        <v/>
      </c>
      <c r="AW101" s="0">
        <f>SUMIF(D3:D96,D100,AW3:AW96)</f>
        <v/>
      </c>
      <c r="AX101" s="0">
        <f>SUMIF(D3:D96,D100,AX3:AX96)</f>
        <v/>
      </c>
      <c r="AY101" s="0">
        <f>SUMIF(D3:D96,D100,AY3:AY96)</f>
        <v/>
      </c>
      <c r="AZ101" s="0">
        <f>SUMIF(D3:D96,D100,AZ3:AZ96)</f>
        <v/>
      </c>
      <c r="BA101" s="0">
        <f>SUMIF(D3:D96,D100,BA3:BA96)</f>
        <v/>
      </c>
      <c r="BB101" s="0">
        <f>SUMIF(D3:D96,D100,BB3:BB96)</f>
        <v/>
      </c>
      <c r="BC101" s="0">
        <f>SUMIF(D3:D96,D100,BC3:BC96)</f>
        <v/>
      </c>
      <c r="BD101" s="0">
        <f>SUMIF(D3:D96,D100,BD3:BD96)</f>
        <v/>
      </c>
      <c r="BE101" s="0">
        <f>SUMIF(D3:D96,D100,BE3:BE96)</f>
        <v/>
      </c>
      <c r="BF101" s="0">
        <f>SUMIF(D3:D96,D100,BF3:BF96)</f>
        <v/>
      </c>
      <c r="BG101" s="0">
        <f>SUMIF(D3:D96,D100,BG3:BG96)</f>
        <v/>
      </c>
      <c r="BH101" s="0">
        <f>SUMIF(D3:D96,D100,BH3:BH96)</f>
        <v/>
      </c>
      <c r="BI101" s="0">
        <f>SUMIF(D3:D96,D100,BI3:BI96)</f>
        <v/>
      </c>
      <c r="BJ101" s="0">
        <f>SUMIF(D3:D96,D100,BJ3:BJ96)</f>
        <v/>
      </c>
      <c r="BK101" s="0">
        <f>SUMIF(D3:D96,D100,BK3:BK96)</f>
        <v/>
      </c>
      <c r="BL101" s="0">
        <f>SUMIF(D3:D96,D100,BL3:BL96)</f>
        <v/>
      </c>
      <c r="BM101" s="0">
        <f>SUMIF(D3:D96,D100,BM3:BM96)</f>
        <v/>
      </c>
      <c r="BN101" s="0">
        <f>SUMIF(D3:D96,D100,BN3:BN96)</f>
        <v/>
      </c>
      <c r="BO101" s="0">
        <f>SUMIF(D3:D96,D100,BO3:BO96)</f>
        <v/>
      </c>
      <c r="BP101" s="0">
        <f>SUMIF(D3:D96,D100,BP3:BP96)</f>
        <v/>
      </c>
      <c r="BQ101" s="0">
        <f>SUMIF(D3:D96,D100,BQ3:BQ96)</f>
        <v/>
      </c>
      <c r="BR101" s="0">
        <f>SUMIF(D3:D96,D100,BR3:BR96)</f>
        <v/>
      </c>
      <c r="BS101" s="0">
        <f>SUMIF(D3:D96,D100,BS3:BS96)</f>
        <v/>
      </c>
      <c r="BT101" s="0">
        <f>SUMIF(D3:D96,D100,BT3:BT96)</f>
        <v/>
      </c>
      <c r="BU101" s="0">
        <f>SUMIF(D3:D96,D100,BU3:BU96)</f>
        <v/>
      </c>
      <c r="BV101" s="0">
        <f>SUMIF(D3:D96,D100,BV3:BV96)</f>
        <v/>
      </c>
      <c r="BW101" s="0">
        <f>SUMIF(D3:D96,D100,BW3:BW96)</f>
        <v/>
      </c>
      <c r="BX101" s="0">
        <f>SUMIF(D3:D96,D100,BX3:BX96)</f>
        <v/>
      </c>
      <c r="BY101" s="0">
        <f>SUMIF(D3:D96,D100,BY3:BY96)</f>
        <v/>
      </c>
      <c r="BZ101" s="0">
        <f>SUMIF(D3:D96,D100,BZ3:BZ96)</f>
        <v/>
      </c>
      <c r="CA101" s="0">
        <f>SUMIF(D3:D96,D100,CA3:CA96)</f>
        <v/>
      </c>
      <c r="CB101" s="0">
        <f>SUMIF(D3:D96,D100,CB3:CB96)</f>
        <v/>
      </c>
      <c r="CC101" s="0">
        <f>SUMIF(D3:D96,D100,CC3:CC96)</f>
        <v/>
      </c>
      <c r="CD101" s="0">
        <f>SUMIF(D3:D96,D100,CD3:CD96)</f>
        <v/>
      </c>
    </row>
    <row r="102" spans="1:82">
      <c r="A102" s="0">
        <v>5</v>
      </c>
      <c r="B102" s="0" t="inlineStr">
        <is>
          <t>2026-07-04</t>
        </is>
      </c>
      <c r="C102" s="0" t="inlineStr">
        <is>
          <t>71306763</t>
        </is>
      </c>
      <c r="D102" s="0" t="inlineStr">
        <is>
          <t>SMBL-01</t>
        </is>
      </c>
      <c r="E102" s="0" t="inlineStr">
        <is>
          <t>kuota</t>
        </is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</row>
    <row r="103" spans="1:82">
      <c r="A103" s="0">
        <v>6</v>
      </c>
      <c r="B103" s="0" t="inlineStr">
        <is>
          <t>2026-07-04</t>
        </is>
      </c>
      <c r="C103" s="0" t="inlineStr">
        <is>
          <t>71306763</t>
        </is>
      </c>
      <c r="D103" s="0" t="inlineStr">
        <is>
          <t>SMBL-01</t>
        </is>
      </c>
      <c r="E103" s="0" t="inlineStr">
        <is>
          <t>Total Estimasi</t>
        </is>
      </c>
      <c r="P103" s="0">
        <f>SUMIF(D3:D96,D102,P3:P96)</f>
        <v/>
      </c>
      <c r="Q103" s="0">
        <f>SUMIF(D3:D96,D102,Q3:Q96)</f>
        <v/>
      </c>
      <c r="R103" s="0">
        <f>SUMIF(D3:D96,D102,R3:R96)</f>
        <v/>
      </c>
      <c r="S103" s="0">
        <f>SUMIF(D3:D96,D102,S3:S96)</f>
        <v/>
      </c>
      <c r="T103" s="0">
        <f>SUMIF(D3:D96,D102,T3:T96)</f>
        <v/>
      </c>
      <c r="U103" s="0">
        <f>SUMIF(D3:D96,D102,U3:U96)</f>
        <v/>
      </c>
      <c r="V103" s="0">
        <f>SUMIF(D3:D96,D102,V3:V96)</f>
        <v/>
      </c>
      <c r="W103" s="0">
        <f>SUMIF(D3:D96,D102,W3:W96)</f>
        <v/>
      </c>
      <c r="X103" s="0">
        <f>SUMIF(D3:D96,D102,X3:X96)</f>
        <v/>
      </c>
      <c r="Y103" s="0">
        <f>SUMIF(D3:D96,D102,Y3:Y96)</f>
        <v/>
      </c>
      <c r="Z103" s="0">
        <f>SUMIF(D3:D96,D102,Z3:Z96)</f>
        <v/>
      </c>
      <c r="AA103" s="0">
        <f>SUMIF(D3:D96,D102,AA3:AA96)</f>
        <v/>
      </c>
      <c r="AB103" s="0">
        <f>SUMIF(D3:D96,D102,AB3:AB96)</f>
        <v/>
      </c>
      <c r="AC103" s="0">
        <f>SUMIF(D3:D96,D102,AC3:AC96)</f>
        <v/>
      </c>
      <c r="AD103" s="0">
        <f>SUMIF(D3:D96,D102,AD3:AD96)</f>
        <v/>
      </c>
      <c r="AE103" s="0">
        <f>SUMIF(D3:D96,D102,AE3:AE96)</f>
        <v/>
      </c>
      <c r="AF103" s="0">
        <f>SUMIF(D3:D96,D102,AF3:AF96)</f>
        <v/>
      </c>
      <c r="AG103" s="0">
        <f>SUMIF(D3:D96,D102,AG3:AG96)</f>
        <v/>
      </c>
      <c r="AH103" s="0">
        <f>SUMIF(D3:D96,D102,AH3:AH96)</f>
        <v/>
      </c>
      <c r="AI103" s="0">
        <f>SUMIF(D3:D96,D102,AI3:AI96)</f>
        <v/>
      </c>
      <c r="AJ103" s="0">
        <f>SUMIF(D3:D96,D102,AJ3:AJ96)</f>
        <v/>
      </c>
      <c r="AK103" s="0">
        <f>SUMIF(D3:D96,D102,AK3:AK96)</f>
        <v/>
      </c>
      <c r="AL103" s="0">
        <f>SUMIF(D3:D96,D102,AL3:AL96)</f>
        <v/>
      </c>
      <c r="AM103" s="0">
        <f>SUMIF(D3:D96,D102,AM3:AM96)</f>
        <v/>
      </c>
      <c r="AN103" s="0">
        <f>SUMIF(D3:D96,D102,AN3:AN96)</f>
        <v/>
      </c>
      <c r="AO103" s="0">
        <f>SUMIF(D3:D96,D102,AO3:AO96)</f>
        <v/>
      </c>
      <c r="AP103" s="0">
        <f>SUMIF(D3:D96,D102,AP3:AP96)</f>
        <v/>
      </c>
      <c r="AQ103" s="0">
        <f>SUMIF(D3:D96,D102,AQ3:AQ96)</f>
        <v/>
      </c>
      <c r="AR103" s="0">
        <f>SUMIF(D3:D96,D102,AR3:AR96)</f>
        <v/>
      </c>
      <c r="AS103" s="0">
        <f>SUMIF(D3:D96,D102,AS3:AS96)</f>
        <v/>
      </c>
      <c r="AT103" s="0">
        <f>SUMIF(D3:D96,D102,AT3:AT96)</f>
        <v/>
      </c>
      <c r="AU103" s="0">
        <f>SUMIF(D3:D96,D102,AU3:AU96)</f>
        <v/>
      </c>
      <c r="AV103" s="0">
        <f>SUMIF(D3:D96,D102,AV3:AV96)</f>
        <v/>
      </c>
      <c r="AW103" s="0">
        <f>SUMIF(D3:D96,D102,AW3:AW96)</f>
        <v/>
      </c>
      <c r="AX103" s="0">
        <f>SUMIF(D3:D96,D102,AX3:AX96)</f>
        <v/>
      </c>
      <c r="AY103" s="0">
        <f>SUMIF(D3:D96,D102,AY3:AY96)</f>
        <v/>
      </c>
      <c r="AZ103" s="0">
        <f>SUMIF(D3:D96,D102,AZ3:AZ96)</f>
        <v/>
      </c>
      <c r="BA103" s="0">
        <f>SUMIF(D3:D96,D102,BA3:BA96)</f>
        <v/>
      </c>
      <c r="BB103" s="0">
        <f>SUMIF(D3:D96,D102,BB3:BB96)</f>
        <v/>
      </c>
      <c r="BC103" s="0">
        <f>SUMIF(D3:D96,D102,BC3:BC96)</f>
        <v/>
      </c>
      <c r="BD103" s="0">
        <f>SUMIF(D3:D96,D102,BD3:BD96)</f>
        <v/>
      </c>
      <c r="BE103" s="0">
        <f>SUMIF(D3:D96,D102,BE3:BE96)</f>
        <v/>
      </c>
      <c r="BF103" s="0">
        <f>SUMIF(D3:D96,D102,BF3:BF96)</f>
        <v/>
      </c>
      <c r="BG103" s="0">
        <f>SUMIF(D3:D96,D102,BG3:BG96)</f>
        <v/>
      </c>
      <c r="BH103" s="0">
        <f>SUMIF(D3:D96,D102,BH3:BH96)</f>
        <v/>
      </c>
      <c r="BI103" s="0">
        <f>SUMIF(D3:D96,D102,BI3:BI96)</f>
        <v/>
      </c>
      <c r="BJ103" s="0">
        <f>SUMIF(D3:D96,D102,BJ3:BJ96)</f>
        <v/>
      </c>
      <c r="BK103" s="0">
        <f>SUMIF(D3:D96,D102,BK3:BK96)</f>
        <v/>
      </c>
      <c r="BL103" s="0">
        <f>SUMIF(D3:D96,D102,BL3:BL96)</f>
        <v/>
      </c>
      <c r="BM103" s="0">
        <f>SUMIF(D3:D96,D102,BM3:BM96)</f>
        <v/>
      </c>
      <c r="BN103" s="0">
        <f>SUMIF(D3:D96,D102,BN3:BN96)</f>
        <v/>
      </c>
      <c r="BO103" s="0">
        <f>SUMIF(D3:D96,D102,BO3:BO96)</f>
        <v/>
      </c>
      <c r="BP103" s="0">
        <f>SUMIF(D3:D96,D102,BP3:BP96)</f>
        <v/>
      </c>
      <c r="BQ103" s="0">
        <f>SUMIF(D3:D96,D102,BQ3:BQ96)</f>
        <v/>
      </c>
      <c r="BR103" s="0">
        <f>SUMIF(D3:D96,D102,BR3:BR96)</f>
        <v/>
      </c>
      <c r="BS103" s="0">
        <f>SUMIF(D3:D96,D102,BS3:BS96)</f>
        <v/>
      </c>
      <c r="BT103" s="0">
        <f>SUMIF(D3:D96,D102,BT3:BT96)</f>
        <v/>
      </c>
      <c r="BU103" s="0">
        <f>SUMIF(D3:D96,D102,BU3:BU96)</f>
        <v/>
      </c>
      <c r="BV103" s="0">
        <f>SUMIF(D3:D96,D102,BV3:BV96)</f>
        <v/>
      </c>
      <c r="BW103" s="0">
        <f>SUMIF(D3:D96,D102,BW3:BW96)</f>
        <v/>
      </c>
      <c r="BX103" s="0">
        <f>SUMIF(D3:D96,D102,BX3:BX96)</f>
        <v/>
      </c>
      <c r="BY103" s="0">
        <f>SUMIF(D3:D96,D102,BY3:BY96)</f>
        <v/>
      </c>
      <c r="BZ103" s="0">
        <f>SUMIF(D3:D96,D102,BZ3:BZ96)</f>
        <v/>
      </c>
      <c r="CA103" s="0">
        <f>SUMIF(D3:D96,D102,CA3:CA96)</f>
        <v/>
      </c>
      <c r="CB103" s="0">
        <f>SUMIF(D3:D96,D102,CB3:CB96)</f>
        <v/>
      </c>
      <c r="CC103" s="0">
        <f>SUMIF(D3:D96,D102,CC3:CC96)</f>
        <v/>
      </c>
      <c r="CD103" s="0">
        <f>SUMIF(D3:D96,D102,CD3:CD96)</f>
        <v/>
      </c>
    </row>
    <row r="104" spans="1:82">
      <c r="A104" s="0">
        <v>7</v>
      </c>
      <c r="B104" s="0" t="inlineStr">
        <is>
          <t>2026-07-04</t>
        </is>
      </c>
      <c r="C104" s="0" t="inlineStr">
        <is>
          <t>71306764</t>
        </is>
      </c>
      <c r="D104" s="0" t="inlineStr">
        <is>
          <t>SMTR-03</t>
        </is>
      </c>
      <c r="E104" s="0" t="inlineStr">
        <is>
          <t>kuota</t>
        </is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</row>
    <row r="105" spans="1:82">
      <c r="A105" s="0">
        <v>8</v>
      </c>
      <c r="B105" s="0" t="inlineStr">
        <is>
          <t>2026-07-04</t>
        </is>
      </c>
      <c r="C105" s="0" t="inlineStr">
        <is>
          <t>71306764</t>
        </is>
      </c>
      <c r="D105" s="0" t="inlineStr">
        <is>
          <t>SMTR-03</t>
        </is>
      </c>
      <c r="E105" s="0" t="inlineStr">
        <is>
          <t>Total Estimasi</t>
        </is>
      </c>
      <c r="P105" s="0">
        <f>SUMIF(D3:D96,D104,P3:P96)</f>
        <v/>
      </c>
      <c r="Q105" s="0">
        <f>SUMIF(D3:D96,D104,Q3:Q96)</f>
        <v/>
      </c>
      <c r="R105" s="0">
        <f>SUMIF(D3:D96,D104,R3:R96)</f>
        <v/>
      </c>
      <c r="S105" s="0">
        <f>SUMIF(D3:D96,D104,S3:S96)</f>
        <v/>
      </c>
      <c r="T105" s="0">
        <f>SUMIF(D3:D96,D104,T3:T96)</f>
        <v/>
      </c>
      <c r="U105" s="0">
        <f>SUMIF(D3:D96,D104,U3:U96)</f>
        <v/>
      </c>
      <c r="V105" s="0">
        <f>SUMIF(D3:D96,D104,V3:V96)</f>
        <v/>
      </c>
      <c r="W105" s="0">
        <f>SUMIF(D3:D96,D104,W3:W96)</f>
        <v/>
      </c>
      <c r="X105" s="0">
        <f>SUMIF(D3:D96,D104,X3:X96)</f>
        <v/>
      </c>
      <c r="Y105" s="0">
        <f>SUMIF(D3:D96,D104,Y3:Y96)</f>
        <v/>
      </c>
      <c r="Z105" s="0">
        <f>SUMIF(D3:D96,D104,Z3:Z96)</f>
        <v/>
      </c>
      <c r="AA105" s="0">
        <f>SUMIF(D3:D96,D104,AA3:AA96)</f>
        <v/>
      </c>
      <c r="AB105" s="0">
        <f>SUMIF(D3:D96,D104,AB3:AB96)</f>
        <v/>
      </c>
      <c r="AC105" s="0">
        <f>SUMIF(D3:D96,D104,AC3:AC96)</f>
        <v/>
      </c>
      <c r="AD105" s="0">
        <f>SUMIF(D3:D96,D104,AD3:AD96)</f>
        <v/>
      </c>
      <c r="AE105" s="0">
        <f>SUMIF(D3:D96,D104,AE3:AE96)</f>
        <v/>
      </c>
      <c r="AF105" s="0">
        <f>SUMIF(D3:D96,D104,AF3:AF96)</f>
        <v/>
      </c>
      <c r="AG105" s="0">
        <f>SUMIF(D3:D96,D104,AG3:AG96)</f>
        <v/>
      </c>
      <c r="AH105" s="0">
        <f>SUMIF(D3:D96,D104,AH3:AH96)</f>
        <v/>
      </c>
      <c r="AI105" s="0">
        <f>SUMIF(D3:D96,D104,AI3:AI96)</f>
        <v/>
      </c>
      <c r="AJ105" s="0">
        <f>SUMIF(D3:D96,D104,AJ3:AJ96)</f>
        <v/>
      </c>
      <c r="AK105" s="0">
        <f>SUMIF(D3:D96,D104,AK3:AK96)</f>
        <v/>
      </c>
      <c r="AL105" s="0">
        <f>SUMIF(D3:D96,D104,AL3:AL96)</f>
        <v/>
      </c>
      <c r="AM105" s="0">
        <f>SUMIF(D3:D96,D104,AM3:AM96)</f>
        <v/>
      </c>
      <c r="AN105" s="0">
        <f>SUMIF(D3:D96,D104,AN3:AN96)</f>
        <v/>
      </c>
      <c r="AO105" s="0">
        <f>SUMIF(D3:D96,D104,AO3:AO96)</f>
        <v/>
      </c>
      <c r="AP105" s="0">
        <f>SUMIF(D3:D96,D104,AP3:AP96)</f>
        <v/>
      </c>
      <c r="AQ105" s="0">
        <f>SUMIF(D3:D96,D104,AQ3:AQ96)</f>
        <v/>
      </c>
      <c r="AR105" s="0">
        <f>SUMIF(D3:D96,D104,AR3:AR96)</f>
        <v/>
      </c>
      <c r="AS105" s="0">
        <f>SUMIF(D3:D96,D104,AS3:AS96)</f>
        <v/>
      </c>
      <c r="AT105" s="0">
        <f>SUMIF(D3:D96,D104,AT3:AT96)</f>
        <v/>
      </c>
      <c r="AU105" s="0">
        <f>SUMIF(D3:D96,D104,AU3:AU96)</f>
        <v/>
      </c>
      <c r="AV105" s="0">
        <f>SUMIF(D3:D96,D104,AV3:AV96)</f>
        <v/>
      </c>
      <c r="AW105" s="0">
        <f>SUMIF(D3:D96,D104,AW3:AW96)</f>
        <v/>
      </c>
      <c r="AX105" s="0">
        <f>SUMIF(D3:D96,D104,AX3:AX96)</f>
        <v/>
      </c>
      <c r="AY105" s="0">
        <f>SUMIF(D3:D96,D104,AY3:AY96)</f>
        <v/>
      </c>
      <c r="AZ105" s="0">
        <f>SUMIF(D3:D96,D104,AZ3:AZ96)</f>
        <v/>
      </c>
      <c r="BA105" s="0">
        <f>SUMIF(D3:D96,D104,BA3:BA96)</f>
        <v/>
      </c>
      <c r="BB105" s="0">
        <f>SUMIF(D3:D96,D104,BB3:BB96)</f>
        <v/>
      </c>
      <c r="BC105" s="0">
        <f>SUMIF(D3:D96,D104,BC3:BC96)</f>
        <v/>
      </c>
      <c r="BD105" s="0">
        <f>SUMIF(D3:D96,D104,BD3:BD96)</f>
        <v/>
      </c>
      <c r="BE105" s="0">
        <f>SUMIF(D3:D96,D104,BE3:BE96)</f>
        <v/>
      </c>
      <c r="BF105" s="0">
        <f>SUMIF(D3:D96,D104,BF3:BF96)</f>
        <v/>
      </c>
      <c r="BG105" s="0">
        <f>SUMIF(D3:D96,D104,BG3:BG96)</f>
        <v/>
      </c>
      <c r="BH105" s="0">
        <f>SUMIF(D3:D96,D104,BH3:BH96)</f>
        <v/>
      </c>
      <c r="BI105" s="0">
        <f>SUMIF(D3:D96,D104,BI3:BI96)</f>
        <v/>
      </c>
      <c r="BJ105" s="0">
        <f>SUMIF(D3:D96,D104,BJ3:BJ96)</f>
        <v/>
      </c>
      <c r="BK105" s="0">
        <f>SUMIF(D3:D96,D104,BK3:BK96)</f>
        <v/>
      </c>
      <c r="BL105" s="0">
        <f>SUMIF(D3:D96,D104,BL3:BL96)</f>
        <v/>
      </c>
      <c r="BM105" s="0">
        <f>SUMIF(D3:D96,D104,BM3:BM96)</f>
        <v/>
      </c>
      <c r="BN105" s="0">
        <f>SUMIF(D3:D96,D104,BN3:BN96)</f>
        <v/>
      </c>
      <c r="BO105" s="0">
        <f>SUMIF(D3:D96,D104,BO3:BO96)</f>
        <v/>
      </c>
      <c r="BP105" s="0">
        <f>SUMIF(D3:D96,D104,BP3:BP96)</f>
        <v/>
      </c>
      <c r="BQ105" s="0">
        <f>SUMIF(D3:D96,D104,BQ3:BQ96)</f>
        <v/>
      </c>
      <c r="BR105" s="0">
        <f>SUMIF(D3:D96,D104,BR3:BR96)</f>
        <v/>
      </c>
      <c r="BS105" s="0">
        <f>SUMIF(D3:D96,D104,BS3:BS96)</f>
        <v/>
      </c>
      <c r="BT105" s="0">
        <f>SUMIF(D3:D96,D104,BT3:BT96)</f>
        <v/>
      </c>
      <c r="BU105" s="0">
        <f>SUMIF(D3:D96,D104,BU3:BU96)</f>
        <v/>
      </c>
      <c r="BV105" s="0">
        <f>SUMIF(D3:D96,D104,BV3:BV96)</f>
        <v/>
      </c>
      <c r="BW105" s="0">
        <f>SUMIF(D3:D96,D104,BW3:BW96)</f>
        <v/>
      </c>
      <c r="BX105" s="0">
        <f>SUMIF(D3:D96,D104,BX3:BX96)</f>
        <v/>
      </c>
      <c r="BY105" s="0">
        <f>SUMIF(D3:D96,D104,BY3:BY96)</f>
        <v/>
      </c>
      <c r="BZ105" s="0">
        <f>SUMIF(D3:D96,D104,BZ3:BZ96)</f>
        <v/>
      </c>
      <c r="CA105" s="0">
        <f>SUMIF(D3:D96,D104,CA3:CA96)</f>
        <v/>
      </c>
      <c r="CB105" s="0">
        <f>SUMIF(D3:D96,D104,CB3:CB96)</f>
        <v/>
      </c>
      <c r="CC105" s="0">
        <f>SUMIF(D3:D96,D104,CC3:CC96)</f>
        <v/>
      </c>
      <c r="CD105" s="0">
        <f>SUMIF(D3:D96,D104,CD3:CD96)</f>
        <v/>
      </c>
    </row>
    <row r="106" spans="1:82">
      <c r="A106" s="0">
        <v>9</v>
      </c>
      <c r="B106" s="0" t="inlineStr">
        <is>
          <t>2026-07-04</t>
        </is>
      </c>
      <c r="C106" s="0" t="inlineStr">
        <is>
          <t>71306765</t>
        </is>
      </c>
      <c r="D106" s="0" t="inlineStr">
        <is>
          <t>SMTR-04</t>
        </is>
      </c>
      <c r="E106" s="0" t="inlineStr">
        <is>
          <t>kuota</t>
        </is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</row>
    <row r="107" spans="1:82">
      <c r="A107" s="0">
        <v>10</v>
      </c>
      <c r="B107" s="0" t="inlineStr">
        <is>
          <t>2026-07-04</t>
        </is>
      </c>
      <c r="C107" s="0" t="inlineStr">
        <is>
          <t>71306765</t>
        </is>
      </c>
      <c r="D107" s="0" t="inlineStr">
        <is>
          <t>SMTR-04</t>
        </is>
      </c>
      <c r="E107" s="0" t="inlineStr">
        <is>
          <t>Total Estimasi</t>
        </is>
      </c>
      <c r="P107" s="0">
        <f>SUMIF(D3:D96,D106,P3:P96)</f>
        <v/>
      </c>
      <c r="Q107" s="0">
        <f>SUMIF(D3:D96,D106,Q3:Q96)</f>
        <v/>
      </c>
      <c r="R107" s="0">
        <f>SUMIF(D3:D96,D106,R3:R96)</f>
        <v/>
      </c>
      <c r="S107" s="0">
        <f>SUMIF(D3:D96,D106,S3:S96)</f>
        <v/>
      </c>
      <c r="T107" s="0">
        <f>SUMIF(D3:D96,D106,T3:T96)</f>
        <v/>
      </c>
      <c r="U107" s="0">
        <f>SUMIF(D3:D96,D106,U3:U96)</f>
        <v/>
      </c>
      <c r="V107" s="0">
        <f>SUMIF(D3:D96,D106,V3:V96)</f>
        <v/>
      </c>
      <c r="W107" s="0">
        <f>SUMIF(D3:D96,D106,W3:W96)</f>
        <v/>
      </c>
      <c r="X107" s="0">
        <f>SUMIF(D3:D96,D106,X3:X96)</f>
        <v/>
      </c>
      <c r="Y107" s="0">
        <f>SUMIF(D3:D96,D106,Y3:Y96)</f>
        <v/>
      </c>
      <c r="Z107" s="0">
        <f>SUMIF(D3:D96,D106,Z3:Z96)</f>
        <v/>
      </c>
      <c r="AA107" s="0">
        <f>SUMIF(D3:D96,D106,AA3:AA96)</f>
        <v/>
      </c>
      <c r="AB107" s="0">
        <f>SUMIF(D3:D96,D106,AB3:AB96)</f>
        <v/>
      </c>
      <c r="AC107" s="0">
        <f>SUMIF(D3:D96,D106,AC3:AC96)</f>
        <v/>
      </c>
      <c r="AD107" s="0">
        <f>SUMIF(D3:D96,D106,AD3:AD96)</f>
        <v/>
      </c>
      <c r="AE107" s="0">
        <f>SUMIF(D3:D96,D106,AE3:AE96)</f>
        <v/>
      </c>
      <c r="AF107" s="0">
        <f>SUMIF(D3:D96,D106,AF3:AF96)</f>
        <v/>
      </c>
      <c r="AG107" s="0">
        <f>SUMIF(D3:D96,D106,AG3:AG96)</f>
        <v/>
      </c>
      <c r="AH107" s="0">
        <f>SUMIF(D3:D96,D106,AH3:AH96)</f>
        <v/>
      </c>
      <c r="AI107" s="0">
        <f>SUMIF(D3:D96,D106,AI3:AI96)</f>
        <v/>
      </c>
      <c r="AJ107" s="0">
        <f>SUMIF(D3:D96,D106,AJ3:AJ96)</f>
        <v/>
      </c>
      <c r="AK107" s="0">
        <f>SUMIF(D3:D96,D106,AK3:AK96)</f>
        <v/>
      </c>
      <c r="AL107" s="0">
        <f>SUMIF(D3:D96,D106,AL3:AL96)</f>
        <v/>
      </c>
      <c r="AM107" s="0">
        <f>SUMIF(D3:D96,D106,AM3:AM96)</f>
        <v/>
      </c>
      <c r="AN107" s="0">
        <f>SUMIF(D3:D96,D106,AN3:AN96)</f>
        <v/>
      </c>
      <c r="AO107" s="0">
        <f>SUMIF(D3:D96,D106,AO3:AO96)</f>
        <v/>
      </c>
      <c r="AP107" s="0">
        <f>SUMIF(D3:D96,D106,AP3:AP96)</f>
        <v/>
      </c>
      <c r="AQ107" s="0">
        <f>SUMIF(D3:D96,D106,AQ3:AQ96)</f>
        <v/>
      </c>
      <c r="AR107" s="0">
        <f>SUMIF(D3:D96,D106,AR3:AR96)</f>
        <v/>
      </c>
      <c r="AS107" s="0">
        <f>SUMIF(D3:D96,D106,AS3:AS96)</f>
        <v/>
      </c>
      <c r="AT107" s="0">
        <f>SUMIF(D3:D96,D106,AT3:AT96)</f>
        <v/>
      </c>
      <c r="AU107" s="0">
        <f>SUMIF(D3:D96,D106,AU3:AU96)</f>
        <v/>
      </c>
      <c r="AV107" s="0">
        <f>SUMIF(D3:D96,D106,AV3:AV96)</f>
        <v/>
      </c>
      <c r="AW107" s="0">
        <f>SUMIF(D3:D96,D106,AW3:AW96)</f>
        <v/>
      </c>
      <c r="AX107" s="0">
        <f>SUMIF(D3:D96,D106,AX3:AX96)</f>
        <v/>
      </c>
      <c r="AY107" s="0">
        <f>SUMIF(D3:D96,D106,AY3:AY96)</f>
        <v/>
      </c>
      <c r="AZ107" s="0">
        <f>SUMIF(D3:D96,D106,AZ3:AZ96)</f>
        <v/>
      </c>
      <c r="BA107" s="0">
        <f>SUMIF(D3:D96,D106,BA3:BA96)</f>
        <v/>
      </c>
      <c r="BB107" s="0">
        <f>SUMIF(D3:D96,D106,BB3:BB96)</f>
        <v/>
      </c>
      <c r="BC107" s="0">
        <f>SUMIF(D3:D96,D106,BC3:BC96)</f>
        <v/>
      </c>
      <c r="BD107" s="0">
        <f>SUMIF(D3:D96,D106,BD3:BD96)</f>
        <v/>
      </c>
      <c r="BE107" s="0">
        <f>SUMIF(D3:D96,D106,BE3:BE96)</f>
        <v/>
      </c>
      <c r="BF107" s="0">
        <f>SUMIF(D3:D96,D106,BF3:BF96)</f>
        <v/>
      </c>
      <c r="BG107" s="0">
        <f>SUMIF(D3:D96,D106,BG3:BG96)</f>
        <v/>
      </c>
      <c r="BH107" s="0">
        <f>SUMIF(D3:D96,D106,BH3:BH96)</f>
        <v/>
      </c>
      <c r="BI107" s="0">
        <f>SUMIF(D3:D96,D106,BI3:BI96)</f>
        <v/>
      </c>
      <c r="BJ107" s="0">
        <f>SUMIF(D3:D96,D106,BJ3:BJ96)</f>
        <v/>
      </c>
      <c r="BK107" s="0">
        <f>SUMIF(D3:D96,D106,BK3:BK96)</f>
        <v/>
      </c>
      <c r="BL107" s="0">
        <f>SUMIF(D3:D96,D106,BL3:BL96)</f>
        <v/>
      </c>
      <c r="BM107" s="0">
        <f>SUMIF(D3:D96,D106,BM3:BM96)</f>
        <v/>
      </c>
      <c r="BN107" s="0">
        <f>SUMIF(D3:D96,D106,BN3:BN96)</f>
        <v/>
      </c>
      <c r="BO107" s="0">
        <f>SUMIF(D3:D96,D106,BO3:BO96)</f>
        <v/>
      </c>
      <c r="BP107" s="0">
        <f>SUMIF(D3:D96,D106,BP3:BP96)</f>
        <v/>
      </c>
      <c r="BQ107" s="0">
        <f>SUMIF(D3:D96,D106,BQ3:BQ96)</f>
        <v/>
      </c>
      <c r="BR107" s="0">
        <f>SUMIF(D3:D96,D106,BR3:BR96)</f>
        <v/>
      </c>
      <c r="BS107" s="0">
        <f>SUMIF(D3:D96,D106,BS3:BS96)</f>
        <v/>
      </c>
      <c r="BT107" s="0">
        <f>SUMIF(D3:D96,D106,BT3:BT96)</f>
        <v/>
      </c>
      <c r="BU107" s="0">
        <f>SUMIF(D3:D96,D106,BU3:BU96)</f>
        <v/>
      </c>
      <c r="BV107" s="0">
        <f>SUMIF(D3:D96,D106,BV3:BV96)</f>
        <v/>
      </c>
      <c r="BW107" s="0">
        <f>SUMIF(D3:D96,D106,BW3:BW96)</f>
        <v/>
      </c>
      <c r="BX107" s="0">
        <f>SUMIF(D3:D96,D106,BX3:BX96)</f>
        <v/>
      </c>
      <c r="BY107" s="0">
        <f>SUMIF(D3:D96,D106,BY3:BY96)</f>
        <v/>
      </c>
      <c r="BZ107" s="0">
        <f>SUMIF(D3:D96,D106,BZ3:BZ96)</f>
        <v/>
      </c>
      <c r="CA107" s="0">
        <f>SUMIF(D3:D96,D106,CA3:CA96)</f>
        <v/>
      </c>
      <c r="CB107" s="0">
        <f>SUMIF(D3:D96,D106,CB3:CB96)</f>
        <v/>
      </c>
      <c r="CC107" s="0">
        <f>SUMIF(D3:D96,D106,CC3:CC96)</f>
        <v/>
      </c>
      <c r="CD107" s="0">
        <f>SUMIF(D3:D96,D106,CD3:CD96)</f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Periode</t>
        </is>
      </c>
      <c r="B1" s="0" t="inlineStr">
        <is>
          <t>(04/07/2026 - 04/07/2026)</t>
        </is>
      </c>
    </row>
    <row r="2" spans="1:2">
      <c r="A2" s="0" t="inlineStr">
        <is>
          <t>Depo</t>
        </is>
      </c>
      <c r="B2" s="0" t="inlineStr">
        <is>
          <t>D/BGR/CITEREUP/PT. MUD/CBT</t>
        </is>
      </c>
    </row>
    <row r="3" spans="1:2">
      <c r="A3" s="0" t="inlineStr">
        <is>
          <t>Date</t>
        </is>
      </c>
      <c r="B3" s="0" t="inlineStr">
        <is>
          <t>01/07/2026</t>
        </is>
      </c>
    </row>
    <row r="4" spans="1:1"/>
    <row r="5" spans="1:3">
      <c r="C5" s="0" t="inlineStr">
        <is>
          <t>2026-07-04</t>
        </is>
      </c>
    </row>
    <row r="6" spans="1:4">
      <c r="A6" s="0" t="inlineStr">
        <is>
          <t>No</t>
        </is>
      </c>
      <c r="B6" s="0" t="inlineStr">
        <is>
          <t>Short Name</t>
        </is>
      </c>
      <c r="C6" s="0" t="inlineStr">
        <is>
          <t>QTY</t>
        </is>
      </c>
      <c r="D6" s="0" t="inlineStr">
        <is>
          <t>TOTAL QTY</t>
        </is>
      </c>
    </row>
    <row r="7" spans="1:4">
      <c r="A7" s="0">
        <v>1</v>
      </c>
      <c r="B7" s="0" t="inlineStr">
        <is>
          <t>RTSII</t>
        </is>
      </c>
      <c r="C7" s="0">
        <f>'2026-07-04'!P97</f>
        <v/>
      </c>
      <c r="D7" s="0">
        <f>C7</f>
        <v/>
      </c>
    </row>
    <row r="8" spans="1:4">
      <c r="A8" s="0">
        <v>2</v>
      </c>
      <c r="B8" s="0" t="inlineStr">
        <is>
          <t>RTGII</t>
        </is>
      </c>
      <c r="C8" s="0">
        <f>'2026-07-04'!Q97</f>
        <v/>
      </c>
      <c r="D8" s="0">
        <f>C8</f>
        <v/>
      </c>
    </row>
    <row r="9" spans="1:4">
      <c r="A9" s="0">
        <v>3</v>
      </c>
      <c r="B9" s="0" t="inlineStr">
        <is>
          <t>RTPDM2</t>
        </is>
      </c>
      <c r="C9" s="0">
        <f>'2026-07-04'!R97</f>
        <v/>
      </c>
      <c r="D9" s="0">
        <f>C9</f>
        <v/>
      </c>
    </row>
    <row r="10" spans="1:4">
      <c r="A10" s="0">
        <v>4</v>
      </c>
      <c r="B10" s="0" t="inlineStr">
        <is>
          <t>RCC2</t>
        </is>
      </c>
      <c r="C10" s="0">
        <f>'2026-07-04'!S97</f>
        <v/>
      </c>
      <c r="D10" s="0">
        <f>C10</f>
        <v/>
      </c>
    </row>
    <row r="11" spans="1:4">
      <c r="A11" s="0">
        <v>5</v>
      </c>
      <c r="B11" s="0" t="inlineStr">
        <is>
          <t>RTKL</t>
        </is>
      </c>
      <c r="C11" s="0">
        <f>'2026-07-04'!T97</f>
        <v/>
      </c>
      <c r="D11" s="0">
        <f>C11</f>
        <v/>
      </c>
    </row>
    <row r="12" spans="1:4">
      <c r="A12" s="0">
        <v>6</v>
      </c>
      <c r="B12" s="0" t="inlineStr">
        <is>
          <t>SCK2</t>
        </is>
      </c>
      <c r="C12" s="0">
        <f>'2026-07-04'!U97</f>
        <v/>
      </c>
      <c r="D12" s="0">
        <f>C12</f>
        <v/>
      </c>
    </row>
    <row r="13" spans="1:4">
      <c r="A13" s="0">
        <v>7</v>
      </c>
      <c r="B13" s="0" t="inlineStr">
        <is>
          <t>SAB2</t>
        </is>
      </c>
      <c r="C13" s="0">
        <f>'2026-07-04'!V97</f>
        <v/>
      </c>
      <c r="D13" s="0">
        <f>C13</f>
        <v/>
      </c>
    </row>
    <row r="14" spans="1:4">
      <c r="A14" s="0">
        <v>8</v>
      </c>
      <c r="B14" s="0" t="inlineStr">
        <is>
          <t>SAP2</t>
        </is>
      </c>
      <c r="C14" s="0">
        <f>'2026-07-04'!W97</f>
        <v/>
      </c>
      <c r="D14" s="0">
        <f>C14</f>
        <v/>
      </c>
    </row>
    <row r="15" spans="1:4">
      <c r="A15" s="0">
        <v>9</v>
      </c>
      <c r="B15" s="0" t="inlineStr">
        <is>
          <t>SKJ2</t>
        </is>
      </c>
      <c r="C15" s="0">
        <f>'2026-07-04'!X97</f>
        <v/>
      </c>
      <c r="D15" s="0">
        <f>C15</f>
        <v/>
      </c>
    </row>
    <row r="16" spans="1:4">
      <c r="A16" s="0">
        <v>10</v>
      </c>
      <c r="B16" s="0" t="inlineStr">
        <is>
          <t>SSM2</t>
        </is>
      </c>
      <c r="C16" s="0">
        <f>'2026-07-04'!Y97</f>
        <v/>
      </c>
      <c r="D16" s="0">
        <f>C16</f>
        <v/>
      </c>
    </row>
    <row r="17" spans="1:4">
      <c r="A17" s="0">
        <v>11</v>
      </c>
      <c r="B17" s="0" t="inlineStr">
        <is>
          <t>RKU2</t>
        </is>
      </c>
      <c r="C17" s="0">
        <f>'2026-07-04'!Z97</f>
        <v/>
      </c>
      <c r="D17" s="0">
        <f>C17</f>
        <v/>
      </c>
    </row>
    <row r="18" spans="1:4">
      <c r="A18" s="0">
        <v>12</v>
      </c>
      <c r="B18" s="0" t="inlineStr">
        <is>
          <t>RJKU II</t>
        </is>
      </c>
      <c r="C18" s="0">
        <f>'2026-07-04'!AA97</f>
        <v/>
      </c>
      <c r="D18" s="0">
        <f>C18</f>
        <v/>
      </c>
    </row>
    <row r="19" spans="1:4">
      <c r="A19" s="0">
        <v>13</v>
      </c>
      <c r="B19" s="0" t="inlineStr">
        <is>
          <t>RMS II</t>
        </is>
      </c>
      <c r="C19" s="0">
        <f>'2026-07-04'!AB97</f>
        <v/>
      </c>
      <c r="D19" s="0">
        <f>C19</f>
        <v/>
      </c>
    </row>
    <row r="20" spans="1:4">
      <c r="A20" s="0">
        <v>14</v>
      </c>
      <c r="B20" s="0" t="inlineStr">
        <is>
          <t>ZSCCK</t>
        </is>
      </c>
      <c r="C20" s="0">
        <f>'2026-07-04'!AC97</f>
        <v/>
      </c>
      <c r="D20" s="0">
        <f>C20</f>
        <v/>
      </c>
    </row>
    <row r="21" spans="1:4">
      <c r="A21" s="0">
        <v>15</v>
      </c>
      <c r="B21" s="0" t="inlineStr">
        <is>
          <t>ZSCM</t>
        </is>
      </c>
      <c r="C21" s="0">
        <f>'2026-07-04'!AD97</f>
        <v/>
      </c>
      <c r="D21" s="0">
        <f>C21</f>
        <v/>
      </c>
    </row>
    <row r="22" spans="1:4">
      <c r="A22" s="0">
        <v>16</v>
      </c>
      <c r="B22" s="0" t="inlineStr">
        <is>
          <t>ZSCS</t>
        </is>
      </c>
      <c r="C22" s="0">
        <f>'2026-07-04'!AE97</f>
        <v/>
      </c>
      <c r="D22" s="0">
        <f>C22</f>
        <v/>
      </c>
    </row>
    <row r="23" spans="1:4">
      <c r="A23" s="0">
        <v>17</v>
      </c>
      <c r="B23" s="0" t="inlineStr">
        <is>
          <t>RJTS500</t>
        </is>
      </c>
      <c r="C23" s="0">
        <f>'2026-07-04'!AF97</f>
        <v/>
      </c>
      <c r="D23" s="0">
        <f>C23</f>
        <v/>
      </c>
    </row>
    <row r="24" spans="1:4">
      <c r="A24" s="0">
        <v>18</v>
      </c>
      <c r="B24" s="0" t="inlineStr">
        <is>
          <t>RJMS500</t>
        </is>
      </c>
      <c r="C24" s="0">
        <f>'2026-07-04'!AG97</f>
        <v/>
      </c>
      <c r="D24" s="0">
        <f>C24</f>
        <v/>
      </c>
    </row>
    <row r="25" spans="1:4">
      <c r="A25" s="0">
        <v>19</v>
      </c>
      <c r="B25" s="0" t="inlineStr">
        <is>
          <t>SCB</t>
        </is>
      </c>
      <c r="C25" s="0">
        <f>'2026-07-04'!AH97</f>
        <v/>
      </c>
      <c r="D25" s="0">
        <f>C25</f>
        <v/>
      </c>
    </row>
    <row r="26" spans="1:4">
      <c r="A26" s="0">
        <v>20</v>
      </c>
      <c r="B26" s="0" t="inlineStr">
        <is>
          <t>ZSCST</t>
        </is>
      </c>
      <c r="C26" s="0">
        <f>'2026-07-04'!AI97</f>
        <v/>
      </c>
      <c r="D26" s="0">
        <f>C26</f>
        <v/>
      </c>
    </row>
    <row r="27" spans="1:4">
      <c r="A27" s="0">
        <v>21</v>
      </c>
      <c r="B27" s="0" t="inlineStr">
        <is>
          <t>SGK</t>
        </is>
      </c>
      <c r="C27" s="0">
        <f>'2026-07-04'!AJ97</f>
        <v/>
      </c>
      <c r="D27" s="0">
        <f>C27</f>
        <v/>
      </c>
    </row>
    <row r="28" spans="1:4">
      <c r="A28" s="0">
        <v>22</v>
      </c>
      <c r="B28" s="0" t="inlineStr">
        <is>
          <t>DOT</t>
        </is>
      </c>
      <c r="C28" s="0">
        <f>'2026-07-04'!AK97</f>
        <v/>
      </c>
      <c r="D28" s="0">
        <f>C28</f>
        <v/>
      </c>
    </row>
    <row r="29" spans="1:4">
      <c r="A29" s="0">
        <v>23</v>
      </c>
      <c r="B29" s="0" t="inlineStr">
        <is>
          <t>ICK GT II</t>
        </is>
      </c>
      <c r="C29" s="0">
        <f>'2026-07-04'!AL97</f>
        <v/>
      </c>
      <c r="D29" s="0">
        <f>C29</f>
        <v/>
      </c>
    </row>
    <row r="30" spans="1:4">
      <c r="A30" s="0">
        <v>24</v>
      </c>
      <c r="B30" s="0" t="inlineStr">
        <is>
          <t>ICC II GT</t>
        </is>
      </c>
      <c r="C30" s="0">
        <f>'2026-07-04'!AM97</f>
        <v/>
      </c>
      <c r="D30" s="0">
        <f>C30</f>
        <v/>
      </c>
    </row>
    <row r="31" spans="1:4">
      <c r="A31" s="0">
        <v>25</v>
      </c>
      <c r="B31" s="0" t="inlineStr">
        <is>
          <t>ISC GT</t>
        </is>
      </c>
      <c r="C31" s="0">
        <f>'2026-07-04'!AN97</f>
        <v/>
      </c>
      <c r="D31" s="0">
        <f>C31</f>
        <v/>
      </c>
    </row>
    <row r="32" spans="1:4">
      <c r="A32" s="0">
        <v>26</v>
      </c>
      <c r="B32" s="0" t="inlineStr">
        <is>
          <t>IST GT</t>
        </is>
      </c>
      <c r="C32" s="0">
        <f>'2026-07-04'!AO97</f>
        <v/>
      </c>
      <c r="D32" s="0">
        <f>C32</f>
        <v/>
      </c>
    </row>
    <row r="33" spans="1:4">
      <c r="A33" s="0">
        <v>27</v>
      </c>
      <c r="B33" s="0" t="inlineStr">
        <is>
          <t>IBL GT</t>
        </is>
      </c>
      <c r="C33" s="0">
        <f>'2026-07-04'!AP97</f>
        <v/>
      </c>
      <c r="D33" s="0">
        <f>C33</f>
        <v/>
      </c>
    </row>
    <row r="34" spans="1:4">
      <c r="A34" s="0">
        <v>28</v>
      </c>
      <c r="B34" s="0" t="inlineStr">
        <is>
          <t>ICO GT</t>
        </is>
      </c>
      <c r="C34" s="0">
        <f>'2026-07-04'!AQ97</f>
        <v/>
      </c>
      <c r="D34" s="0">
        <f>C34</f>
        <v/>
      </c>
    </row>
    <row r="35" spans="1:4">
      <c r="A35" s="0">
        <v>29</v>
      </c>
      <c r="B35" s="0" t="inlineStr">
        <is>
          <t>IGC</t>
        </is>
      </c>
      <c r="C35" s="0">
        <f>'2026-07-04'!AR97</f>
        <v/>
      </c>
      <c r="D35" s="0">
        <f>C35</f>
        <v/>
      </c>
    </row>
    <row r="36" spans="1:4">
      <c r="A36" s="0">
        <v>30</v>
      </c>
      <c r="B36" s="0" t="inlineStr">
        <is>
          <t>SRC III</t>
        </is>
      </c>
      <c r="C36" s="0">
        <f>'2026-07-04'!AS97</f>
        <v/>
      </c>
      <c r="D36" s="0">
        <f>C36</f>
        <v/>
      </c>
    </row>
    <row r="37" spans="1:4">
      <c r="A37" s="0">
        <v>31</v>
      </c>
      <c r="B37" s="0" t="inlineStr">
        <is>
          <t>SCC III</t>
        </is>
      </c>
      <c r="C37" s="0">
        <f>'2026-07-04'!AT97</f>
        <v/>
      </c>
      <c r="D37" s="0">
        <f>C37</f>
        <v/>
      </c>
    </row>
    <row r="38" spans="1:4">
      <c r="A38" s="0">
        <v>32</v>
      </c>
      <c r="B38" s="0" t="inlineStr">
        <is>
          <t>SRM III</t>
        </is>
      </c>
      <c r="C38" s="0">
        <f>'2026-07-04'!AU97</f>
        <v/>
      </c>
      <c r="D38" s="0">
        <f>C38</f>
        <v/>
      </c>
    </row>
    <row r="39" spans="1:4">
      <c r="A39" s="0">
        <v>33</v>
      </c>
      <c r="B39" s="0" t="inlineStr">
        <is>
          <t>ZCRCC</t>
        </is>
      </c>
      <c r="C39" s="0">
        <f>'2026-07-04'!AV97</f>
        <v/>
      </c>
      <c r="D39" s="0">
        <f>C39</f>
        <v/>
      </c>
    </row>
    <row r="40" spans="1:4">
      <c r="A40" s="0">
        <v>34</v>
      </c>
      <c r="B40" s="0" t="inlineStr">
        <is>
          <t>ZCRCR</t>
        </is>
      </c>
      <c r="C40" s="0">
        <f>'2026-07-04'!AW97</f>
        <v/>
      </c>
      <c r="D40" s="0">
        <f>C40</f>
        <v/>
      </c>
    </row>
    <row r="41" spans="1:4">
      <c r="A41" s="0">
        <v>35</v>
      </c>
      <c r="B41" s="0" t="inlineStr">
        <is>
          <t>ZCRCB</t>
        </is>
      </c>
      <c r="C41" s="0">
        <f>'2026-07-04'!AX97</f>
        <v/>
      </c>
      <c r="D41" s="0">
        <f>C41</f>
        <v/>
      </c>
    </row>
    <row r="42" spans="1:4">
      <c r="A42" s="0">
        <v>36</v>
      </c>
      <c r="B42" s="0" t="inlineStr">
        <is>
          <t>SRS</t>
        </is>
      </c>
      <c r="C42" s="0">
        <f>'2026-07-04'!AY97</f>
        <v/>
      </c>
      <c r="D42" s="0">
        <f>C42</f>
        <v/>
      </c>
    </row>
    <row r="43" spans="1:4">
      <c r="A43" s="0">
        <v>37</v>
      </c>
      <c r="B43" s="0" t="inlineStr">
        <is>
          <t>ZCRGC</t>
        </is>
      </c>
      <c r="C43" s="0">
        <f>'2026-07-04'!AZ97</f>
        <v/>
      </c>
      <c r="D43" s="0">
        <f>C43</f>
        <v/>
      </c>
    </row>
    <row r="44" spans="1:4">
      <c r="A44" s="0">
        <v>38</v>
      </c>
      <c r="B44" s="0" t="inlineStr">
        <is>
          <t>DIC</t>
        </is>
      </c>
      <c r="C44" s="0">
        <f>'2026-07-04'!BA97</f>
        <v/>
      </c>
      <c r="D44" s="0">
        <f>C44</f>
        <v/>
      </c>
    </row>
    <row r="45" spans="1:4">
      <c r="A45" s="0">
        <v>39</v>
      </c>
      <c r="B45" s="0" t="inlineStr">
        <is>
          <t>DCP</t>
        </is>
      </c>
      <c r="C45" s="0">
        <f>'2026-07-04'!BB97</f>
        <v/>
      </c>
      <c r="D45" s="0">
        <f>C45</f>
        <v/>
      </c>
    </row>
    <row r="46" spans="1:4">
      <c r="A46" s="0">
        <v>40</v>
      </c>
      <c r="B46" s="0" t="inlineStr">
        <is>
          <t>DHF</t>
        </is>
      </c>
      <c r="C46" s="0">
        <f>'2026-07-04'!BC97</f>
        <v/>
      </c>
      <c r="D46" s="0">
        <f>C46</f>
        <v/>
      </c>
    </row>
    <row r="47" spans="1:4">
      <c r="A47" s="0">
        <v>41</v>
      </c>
      <c r="B47" s="0" t="inlineStr">
        <is>
          <t>DST</t>
        </is>
      </c>
      <c r="C47" s="0">
        <f>'2026-07-04'!BD97</f>
        <v/>
      </c>
      <c r="D47" s="0">
        <f>C47</f>
        <v/>
      </c>
    </row>
    <row r="48" spans="1:4">
      <c r="A48" s="0">
        <v>42</v>
      </c>
      <c r="B48" s="0" t="inlineStr">
        <is>
          <t>DPS</t>
        </is>
      </c>
      <c r="C48" s="0">
        <f>'2026-07-04'!BE97</f>
        <v/>
      </c>
      <c r="D48" s="0">
        <f>C48</f>
        <v/>
      </c>
    </row>
    <row r="49" spans="1:4">
      <c r="A49" s="0">
        <v>43</v>
      </c>
      <c r="B49" s="0" t="inlineStr">
        <is>
          <t>DNS</t>
        </is>
      </c>
      <c r="C49" s="0">
        <f>'2026-07-04'!BF97</f>
        <v/>
      </c>
      <c r="D49" s="0">
        <f>C49</f>
        <v/>
      </c>
    </row>
    <row r="50" spans="1:4">
      <c r="A50" s="0">
        <v>44</v>
      </c>
      <c r="B50" s="0" t="inlineStr">
        <is>
          <t>RKJ2</t>
        </is>
      </c>
      <c r="C50" s="0">
        <f>'2026-07-04'!BG97</f>
        <v/>
      </c>
      <c r="D50" s="0">
        <f>C50</f>
        <v/>
      </c>
    </row>
    <row r="51" spans="1:4">
      <c r="A51" s="0">
        <v>45</v>
      </c>
      <c r="B51" s="0" t="inlineStr">
        <is>
          <t>RSM2</t>
        </is>
      </c>
      <c r="C51" s="0">
        <f>'2026-07-04'!BH97</f>
        <v/>
      </c>
      <c r="D51" s="0">
        <f>C51</f>
        <v/>
      </c>
    </row>
    <row r="52" spans="1:4">
      <c r="A52" s="0">
        <v>46</v>
      </c>
      <c r="B52" s="0" t="inlineStr">
        <is>
          <t>RKS2</t>
        </is>
      </c>
      <c r="C52" s="0">
        <f>'2026-07-04'!BI97</f>
        <v/>
      </c>
      <c r="D52" s="0">
        <f>C52</f>
        <v/>
      </c>
    </row>
    <row r="53" spans="1:4">
      <c r="A53" s="0">
        <v>47</v>
      </c>
      <c r="B53" s="0" t="inlineStr">
        <is>
          <t>TOCII5S</t>
        </is>
      </c>
      <c r="C53" s="0">
        <f>'2026-07-04'!BJ97</f>
        <v/>
      </c>
      <c r="D53" s="0">
        <f>C53</f>
        <v/>
      </c>
    </row>
    <row r="54" spans="1:4">
      <c r="A54" s="0">
        <v>48</v>
      </c>
      <c r="B54" s="0" t="inlineStr">
        <is>
          <t>TCCII5S</t>
        </is>
      </c>
      <c r="C54" s="0">
        <f>'2026-07-04'!BK97</f>
        <v/>
      </c>
      <c r="D54" s="0">
        <f>C54</f>
        <v/>
      </c>
    </row>
    <row r="55" spans="1:4">
      <c r="A55" s="0">
        <v>49</v>
      </c>
      <c r="B55" s="0" t="inlineStr">
        <is>
          <t>TCSII5S</t>
        </is>
      </c>
      <c r="C55" s="0">
        <f>'2026-07-04'!BL97</f>
        <v/>
      </c>
      <c r="D55" s="0">
        <f>C55</f>
        <v/>
      </c>
    </row>
    <row r="56" spans="1:4">
      <c r="A56" s="0">
        <v>50</v>
      </c>
      <c r="B56" s="0" t="inlineStr">
        <is>
          <t>TSTII5S</t>
        </is>
      </c>
      <c r="C56" s="0">
        <f>'2026-07-04'!BM97</f>
        <v/>
      </c>
      <c r="D56" s="0">
        <f>C56</f>
        <v/>
      </c>
    </row>
    <row r="57" spans="1:4">
      <c r="A57" s="0">
        <v>51</v>
      </c>
      <c r="B57" s="0" t="inlineStr">
        <is>
          <t>TCBII5S</t>
        </is>
      </c>
      <c r="C57" s="0">
        <f>'2026-07-04'!BN97</f>
        <v/>
      </c>
      <c r="D57" s="0">
        <f>C57</f>
        <v/>
      </c>
    </row>
    <row r="58" spans="1:4">
      <c r="A58" s="0">
        <v>52</v>
      </c>
      <c r="B58" s="0" t="inlineStr">
        <is>
          <t>KKM</t>
        </is>
      </c>
      <c r="C58" s="0">
        <f>'2026-07-04'!BO97</f>
        <v/>
      </c>
      <c r="D58" s="0">
        <f>C58</f>
        <v/>
      </c>
    </row>
    <row r="59" spans="1:4">
      <c r="A59" s="0">
        <v>53</v>
      </c>
      <c r="B59" s="0" t="inlineStr">
        <is>
          <t>RMNC</t>
        </is>
      </c>
      <c r="C59" s="0">
        <f>'2026-07-04'!BP97</f>
        <v/>
      </c>
      <c r="D59" s="0">
        <f>C59</f>
        <v/>
      </c>
    </row>
    <row r="60" spans="1:4">
      <c r="A60" s="0">
        <v>54</v>
      </c>
      <c r="B60" s="0" t="inlineStr">
        <is>
          <t>RMNS</t>
        </is>
      </c>
      <c r="C60" s="0">
        <f>'2026-07-04'!BQ97</f>
        <v/>
      </c>
      <c r="D60" s="0">
        <f>C60</f>
        <v/>
      </c>
    </row>
    <row r="61" spans="1:4">
      <c r="A61" s="0">
        <v>55</v>
      </c>
      <c r="B61" s="0" t="inlineStr">
        <is>
          <t>TDOC 72</t>
        </is>
      </c>
      <c r="C61" s="0">
        <f>'2026-07-04'!BR97</f>
        <v/>
      </c>
      <c r="D61" s="0">
        <f>C61</f>
        <v/>
      </c>
    </row>
    <row r="62" spans="1:4">
      <c r="A62" s="0">
        <v>56</v>
      </c>
      <c r="B62" s="0" t="inlineStr">
        <is>
          <t>TDCC 72</t>
        </is>
      </c>
      <c r="C62" s="0">
        <f>'2026-07-04'!BS97</f>
        <v/>
      </c>
      <c r="D62" s="0">
        <f>C62</f>
        <v/>
      </c>
    </row>
    <row r="63" spans="1:4">
      <c r="A63" s="0">
        <v>57</v>
      </c>
      <c r="B63" s="0" t="inlineStr">
        <is>
          <t>TDCS 72</t>
        </is>
      </c>
      <c r="C63" s="0">
        <f>'2026-07-04'!BT97</f>
        <v/>
      </c>
      <c r="D63" s="0">
        <f>C63</f>
        <v/>
      </c>
    </row>
    <row r="64" spans="1:4">
      <c r="A64" s="0">
        <v>58</v>
      </c>
      <c r="B64" s="0" t="inlineStr">
        <is>
          <t>BURII</t>
        </is>
      </c>
      <c r="C64" s="0">
        <f>'2026-07-04'!BU97</f>
        <v/>
      </c>
      <c r="D64" s="0">
        <f>C64</f>
        <v/>
      </c>
    </row>
    <row r="65" spans="1:4">
      <c r="A65" s="0">
        <v>59</v>
      </c>
      <c r="B65" s="0" t="inlineStr">
        <is>
          <t>CCC</t>
        </is>
      </c>
      <c r="C65" s="0">
        <f>'2026-07-04'!BV97</f>
        <v/>
      </c>
      <c r="D65" s="0">
        <f>C65</f>
        <v/>
      </c>
    </row>
    <row r="66" spans="1:4">
      <c r="A66" s="0">
        <v>60</v>
      </c>
      <c r="B66" s="0" t="inlineStr">
        <is>
          <t>CCP</t>
        </is>
      </c>
      <c r="C66" s="0">
        <f>'2026-07-04'!BW97</f>
        <v/>
      </c>
      <c r="D66" s="0">
        <f>C66</f>
        <v/>
      </c>
    </row>
    <row r="67" spans="1:4">
      <c r="A67" s="0">
        <v>61</v>
      </c>
      <c r="B67" s="0" t="inlineStr">
        <is>
          <t>CCMS</t>
        </is>
      </c>
      <c r="C67" s="0">
        <f>'2026-07-04'!BX97</f>
        <v/>
      </c>
      <c r="D67" s="0">
        <f>C67</f>
        <v/>
      </c>
    </row>
    <row r="68" spans="1:4">
      <c r="A68" s="0">
        <v>62</v>
      </c>
      <c r="B68" s="0" t="inlineStr">
        <is>
          <t>STCB</t>
        </is>
      </c>
      <c r="C68" s="0">
        <f>'2026-07-04'!BY97</f>
        <v/>
      </c>
      <c r="D68" s="0">
        <f>C68</f>
        <v/>
      </c>
    </row>
    <row r="69" spans="1:4">
      <c r="A69" s="0">
        <v>63</v>
      </c>
      <c r="B69" s="0" t="inlineStr">
        <is>
          <t>BMO</t>
        </is>
      </c>
      <c r="C69" s="0">
        <f>'2026-07-04'!BZ97</f>
        <v/>
      </c>
      <c r="D69" s="0">
        <f>C69</f>
        <v/>
      </c>
    </row>
    <row r="70" spans="1:4">
      <c r="A70" s="0">
        <v>64</v>
      </c>
      <c r="B70" s="0" t="inlineStr">
        <is>
          <t>WFO</t>
        </is>
      </c>
      <c r="C70" s="0">
        <f>'2026-07-04'!CA97</f>
        <v/>
      </c>
      <c r="D70" s="0">
        <f>C70</f>
        <v/>
      </c>
    </row>
    <row r="71" spans="1:4">
      <c r="A71" s="0">
        <v>65</v>
      </c>
      <c r="B71" s="0" t="inlineStr">
        <is>
          <t>STCDC</t>
        </is>
      </c>
      <c r="C71" s="0">
        <f>'2026-07-04'!CB97</f>
        <v/>
      </c>
      <c r="D71" s="0">
        <f>C71</f>
        <v/>
      </c>
    </row>
    <row r="72" spans="1:4">
      <c r="A72" s="0">
        <v>66</v>
      </c>
      <c r="B72" s="0" t="inlineStr">
        <is>
          <t>MNC</t>
        </is>
      </c>
      <c r="C72" s="0">
        <f>'2026-07-04'!CC97</f>
        <v/>
      </c>
      <c r="D72" s="0">
        <f>C72</f>
        <v/>
      </c>
    </row>
    <row r="73" spans="1:4">
      <c r="A73" s="0">
        <v>67</v>
      </c>
      <c r="B73" s="0" t="inlineStr">
        <is>
          <t>BKOR</t>
        </is>
      </c>
      <c r="C73" s="0">
        <f>'2026-07-04'!CD97</f>
        <v/>
      </c>
      <c r="D73" s="0">
        <f>C73</f>
        <v/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Periode</t>
        </is>
      </c>
      <c r="B1" s="0" t="inlineStr">
        <is>
          <t>(04/07/2026 - 04/07/2026)</t>
        </is>
      </c>
    </row>
    <row r="2" spans="1:2">
      <c r="A2" s="0" t="inlineStr">
        <is>
          <t>Depo</t>
        </is>
      </c>
      <c r="B2" s="0" t="inlineStr">
        <is>
          <t>D/BGR/CITEREUP/PT. MUD/CBT</t>
        </is>
      </c>
    </row>
    <row r="3" spans="1:2">
      <c r="A3" s="0" t="inlineStr">
        <is>
          <t>Date</t>
        </is>
      </c>
      <c r="B3" s="0" t="inlineStr">
        <is>
          <t>01/07/2026</t>
        </is>
      </c>
    </row>
    <row r="4" spans="1:1"/>
    <row r="5" spans="1:7">
      <c r="A5" s="0" t="inlineStr">
        <is>
          <t>Main Store</t>
        </is>
      </c>
      <c r="B5" s="0" t="inlineStr">
        <is>
          <t>Klasifikasi</t>
        </is>
      </c>
      <c r="C5" s="0" t="inlineStr">
        <is>
          <t>Store Type</t>
        </is>
      </c>
      <c r="D5" s="0" t="inlineStr">
        <is>
          <t>QTY</t>
        </is>
      </c>
      <c r="E5" s="0" t="inlineStr">
        <is>
          <t>CBP</t>
        </is>
      </c>
      <c r="F5" s="0" t="inlineStr">
        <is>
          <t>RBP</t>
        </is>
      </c>
      <c r="G5" s="0" t="inlineStr">
        <is>
          <t>RBP Exclude PPN</t>
        </is>
      </c>
    </row>
    <row r="6" spans="1:7">
      <c r="A6" s="0" t="inlineStr">
        <is>
          <t>COMMUNITY</t>
        </is>
      </c>
      <c r="B6" s="0" t="inlineStr">
        <is>
          <t>COMMUNITY BASED ON INTEREST</t>
        </is>
      </c>
      <c r="C6" s="0" t="inlineStr">
        <is>
          <t>MITRA-DIRECT SELLING</t>
        </is>
      </c>
      <c r="D6" s="0">
        <f>(SUMIF('2026-07-04'!F3:F96,'Rekap by Type'!C6,'2026-07-04'!L3:L96))</f>
        <v/>
      </c>
      <c r="E6" s="0">
        <f>(SUMIF('2026-07-04'!F3:F96,'Rekap by Type'!C6,'2026-07-04'!I3:I96))</f>
        <v/>
      </c>
      <c r="F6" s="0">
        <f>(SUMIF('2026-07-04'!F3:F96,'Rekap by Type'!C6,'2026-07-04'!J3:J96))</f>
        <v/>
      </c>
      <c r="G6" s="0">
        <f>ROUND(F6/1.11,0)</f>
        <v/>
      </c>
    </row>
    <row r="7" spans="1:7">
      <c r="A7" s="0" t="inlineStr">
        <is>
          <t>COMMUNITY</t>
        </is>
      </c>
      <c r="B7" s="0" t="inlineStr">
        <is>
          <t>COMMUNITY BASED ON INTEREST</t>
        </is>
      </c>
      <c r="C7" s="0" t="inlineStr">
        <is>
          <t>PENJUALAN CASH</t>
        </is>
      </c>
      <c r="D7" s="0">
        <f>(SUMIF('2026-07-04'!F3:F96,'Rekap by Type'!C7,'2026-07-04'!L3:L96))</f>
        <v/>
      </c>
      <c r="E7" s="0">
        <f>(SUMIF('2026-07-04'!F3:F96,'Rekap by Type'!C7,'2026-07-04'!I3:I96))</f>
        <v/>
      </c>
      <c r="F7" s="0">
        <f>(SUMIF('2026-07-04'!F3:F96,'Rekap by Type'!C7,'2026-07-04'!J3:J96))</f>
        <v/>
      </c>
      <c r="G7" s="0">
        <f>ROUND(F7/1.11,0)</f>
        <v/>
      </c>
    </row>
    <row r="8" spans="1:7">
      <c r="A8" s="0" t="inlineStr">
        <is>
          <t>COMMUNITY</t>
        </is>
      </c>
      <c r="B8" s="0" t="inlineStr">
        <is>
          <t>COMMUNITY BASED ON LOCATION</t>
        </is>
      </c>
      <c r="C8" s="0" t="inlineStr">
        <is>
          <t>BUMDES</t>
        </is>
      </c>
      <c r="D8" s="0">
        <f>(SUMIF('2026-07-04'!F3:F96,'Rekap by Type'!C8,'2026-07-04'!L3:L96))</f>
        <v/>
      </c>
      <c r="E8" s="0">
        <f>(SUMIF('2026-07-04'!F3:F96,'Rekap by Type'!C8,'2026-07-04'!I3:I96))</f>
        <v/>
      </c>
      <c r="F8" s="0">
        <f>(SUMIF('2026-07-04'!F3:F96,'Rekap by Type'!C8,'2026-07-04'!J3:J96))</f>
        <v/>
      </c>
      <c r="G8" s="0">
        <f>ROUND(F8/1.11,0)</f>
        <v/>
      </c>
    </row>
    <row r="9" spans="1:7">
      <c r="A9" s="0" t="inlineStr">
        <is>
          <t>e-Trade</t>
        </is>
      </c>
      <c r="B9" s="0" t="inlineStr">
        <is>
          <t>E-COMMERCE</t>
        </is>
      </c>
      <c r="C9" s="0" t="inlineStr">
        <is>
          <t>GO FOOD</t>
        </is>
      </c>
      <c r="D9" s="0">
        <f>(SUMIF('2026-07-04'!F3:F96,'Rekap by Type'!C9,'2026-07-04'!L3:L96))</f>
        <v/>
      </c>
      <c r="E9" s="0">
        <f>(SUMIF('2026-07-04'!F3:F96,'Rekap by Type'!C9,'2026-07-04'!I3:I96))</f>
        <v/>
      </c>
      <c r="F9" s="0">
        <f>(SUMIF('2026-07-04'!F3:F96,'Rekap by Type'!C9,'2026-07-04'!J3:J96))</f>
        <v/>
      </c>
      <c r="G9" s="0">
        <f>ROUND(F9/1.11,0)</f>
        <v/>
      </c>
    </row>
    <row r="10" spans="1:7">
      <c r="A10" s="0" t="inlineStr">
        <is>
          <t>e-Trade</t>
        </is>
      </c>
      <c r="B10" s="0" t="inlineStr">
        <is>
          <t>E-COMMERCE</t>
        </is>
      </c>
      <c r="C10" s="0" t="inlineStr">
        <is>
          <t>GRAB FOOD</t>
        </is>
      </c>
      <c r="D10" s="0">
        <f>(SUMIF('2026-07-04'!F3:F96,'Rekap by Type'!C10,'2026-07-04'!L3:L96))</f>
        <v/>
      </c>
      <c r="E10" s="0">
        <f>(SUMIF('2026-07-04'!F3:F96,'Rekap by Type'!C10,'2026-07-04'!I3:I96))</f>
        <v/>
      </c>
      <c r="F10" s="0">
        <f>(SUMIF('2026-07-04'!F3:F96,'Rekap by Type'!C10,'2026-07-04'!J3:J96))</f>
        <v/>
      </c>
      <c r="G10" s="0">
        <f>ROUND(F10/1.11,0)</f>
        <v/>
      </c>
    </row>
    <row r="11" spans="1:7">
      <c r="A11" s="0" t="inlineStr">
        <is>
          <t>e-Trade</t>
        </is>
      </c>
      <c r="B11" s="0" t="inlineStr">
        <is>
          <t>E-COMMERCE</t>
        </is>
      </c>
      <c r="C11" s="0" t="inlineStr">
        <is>
          <t>TOKOPEDIA</t>
        </is>
      </c>
      <c r="D11" s="0">
        <f>(SUMIF('2026-07-04'!F3:F96,'Rekap by Type'!C11,'2026-07-04'!L3:L96))</f>
        <v/>
      </c>
      <c r="E11" s="0">
        <f>(SUMIF('2026-07-04'!F3:F96,'Rekap by Type'!C11,'2026-07-04'!I3:I96))</f>
        <v/>
      </c>
      <c r="F11" s="0">
        <f>(SUMIF('2026-07-04'!F3:F96,'Rekap by Type'!C11,'2026-07-04'!J3:J96))</f>
        <v/>
      </c>
      <c r="G11" s="0">
        <f>ROUND(F11/1.11,0)</f>
        <v/>
      </c>
    </row>
    <row r="12" spans="1:7">
      <c r="A12" s="0" t="inlineStr">
        <is>
          <t>e-Trade</t>
        </is>
      </c>
      <c r="B12" s="0" t="inlineStr">
        <is>
          <t>E-COMMERCE</t>
        </is>
      </c>
      <c r="C12" s="0" t="inlineStr">
        <is>
          <t>JDID</t>
        </is>
      </c>
      <c r="D12" s="0">
        <f>(SUMIF('2026-07-04'!F3:F96,'Rekap by Type'!C12,'2026-07-04'!L3:L96))</f>
        <v/>
      </c>
      <c r="E12" s="0">
        <f>(SUMIF('2026-07-04'!F3:F96,'Rekap by Type'!C12,'2026-07-04'!I3:I96))</f>
        <v/>
      </c>
      <c r="F12" s="0">
        <f>(SUMIF('2026-07-04'!F3:F96,'Rekap by Type'!C12,'2026-07-04'!J3:J96))</f>
        <v/>
      </c>
      <c r="G12" s="0">
        <f>ROUND(F12/1.11,0)</f>
        <v/>
      </c>
    </row>
    <row r="13" spans="1:7">
      <c r="A13" s="0" t="inlineStr">
        <is>
          <t>e-Trade</t>
        </is>
      </c>
      <c r="B13" s="0" t="inlineStr">
        <is>
          <t>E-COMMERCE</t>
        </is>
      </c>
      <c r="C13" s="0" t="inlineStr">
        <is>
          <t>SHOPEE</t>
        </is>
      </c>
      <c r="D13" s="0">
        <f>(SUMIF('2026-07-04'!F3:F96,'Rekap by Type'!C13,'2026-07-04'!L3:L96))</f>
        <v/>
      </c>
      <c r="E13" s="0">
        <f>(SUMIF('2026-07-04'!F3:F96,'Rekap by Type'!C13,'2026-07-04'!I3:I96))</f>
        <v/>
      </c>
      <c r="F13" s="0">
        <f>(SUMIF('2026-07-04'!F3:F96,'Rekap by Type'!C13,'2026-07-04'!J3:J96))</f>
        <v/>
      </c>
      <c r="G13" s="0">
        <f>ROUND(F13/1.11,0)</f>
        <v/>
      </c>
    </row>
    <row r="14" spans="1:7">
      <c r="A14" s="0" t="inlineStr">
        <is>
          <t>e-Trade</t>
        </is>
      </c>
      <c r="B14" s="0" t="inlineStr">
        <is>
          <t>E-COMMERCE</t>
        </is>
      </c>
      <c r="C14" s="0" t="inlineStr">
        <is>
          <t>BLIBLI</t>
        </is>
      </c>
      <c r="D14" s="0">
        <f>(SUMIF('2026-07-04'!F3:F96,'Rekap by Type'!C14,'2026-07-04'!L3:L96))</f>
        <v/>
      </c>
      <c r="E14" s="0">
        <f>(SUMIF('2026-07-04'!F3:F96,'Rekap by Type'!C14,'2026-07-04'!I3:I96))</f>
        <v/>
      </c>
      <c r="F14" s="0">
        <f>(SUMIF('2026-07-04'!F3:F96,'Rekap by Type'!C14,'2026-07-04'!J3:J96))</f>
        <v/>
      </c>
      <c r="G14" s="0">
        <f>ROUND(F14/1.11,0)</f>
        <v/>
      </c>
    </row>
    <row r="15" spans="1:7">
      <c r="A15" s="0" t="inlineStr">
        <is>
          <t>e-Trade</t>
        </is>
      </c>
      <c r="B15" s="0" t="inlineStr">
        <is>
          <t>E-COMMERCE</t>
        </is>
      </c>
      <c r="C15" s="0" t="inlineStr">
        <is>
          <t>FOOD DELIVERY ONLINE</t>
        </is>
      </c>
      <c r="D15" s="0">
        <f>(SUMIF('2026-07-04'!F3:F96,'Rekap by Type'!C15,'2026-07-04'!L3:L96))</f>
        <v/>
      </c>
      <c r="E15" s="0">
        <f>(SUMIF('2026-07-04'!F3:F96,'Rekap by Type'!C15,'2026-07-04'!I3:I96))</f>
        <v/>
      </c>
      <c r="F15" s="0">
        <f>(SUMIF('2026-07-04'!F3:F96,'Rekap by Type'!C15,'2026-07-04'!J3:J96))</f>
        <v/>
      </c>
      <c r="G15" s="0">
        <f>ROUND(F15/1.11,0)</f>
        <v/>
      </c>
    </row>
    <row r="16" spans="1:7">
      <c r="A16" s="0" t="inlineStr">
        <is>
          <t>e-Trade</t>
        </is>
      </c>
      <c r="B16" s="0" t="inlineStr">
        <is>
          <t>E-COMMERCE</t>
        </is>
      </c>
      <c r="C16" s="0" t="inlineStr">
        <is>
          <t>OTHERS ECOMERCE</t>
        </is>
      </c>
      <c r="D16" s="0">
        <f>(SUMIF('2026-07-04'!F3:F96,'Rekap by Type'!C16,'2026-07-04'!L3:L96))</f>
        <v/>
      </c>
      <c r="E16" s="0">
        <f>(SUMIF('2026-07-04'!F3:F96,'Rekap by Type'!C16,'2026-07-04'!I3:I96))</f>
        <v/>
      </c>
      <c r="F16" s="0">
        <f>(SUMIF('2026-07-04'!F3:F96,'Rekap by Type'!C16,'2026-07-04'!J3:J96))</f>
        <v/>
      </c>
      <c r="G16" s="0">
        <f>ROUND(F16/1.11,0)</f>
        <v/>
      </c>
    </row>
    <row r="17" spans="1:7">
      <c r="A17" s="0" t="inlineStr">
        <is>
          <t>COMMUNITY</t>
        </is>
      </c>
      <c r="B17" s="0" t="inlineStr">
        <is>
          <t>INSTITUSI - GT</t>
        </is>
      </c>
      <c r="C17" s="0" t="inlineStr">
        <is>
          <t>FACTORY</t>
        </is>
      </c>
      <c r="D17" s="0">
        <f>(SUMIF('2026-07-04'!F3:F96,'Rekap by Type'!C17,'2026-07-04'!L3:L96))</f>
        <v/>
      </c>
      <c r="E17" s="0">
        <f>(SUMIF('2026-07-04'!F3:F96,'Rekap by Type'!C17,'2026-07-04'!I3:I96))</f>
        <v/>
      </c>
      <c r="F17" s="0">
        <f>(SUMIF('2026-07-04'!F3:F96,'Rekap by Type'!C17,'2026-07-04'!J3:J96))</f>
        <v/>
      </c>
      <c r="G17" s="0">
        <f>ROUND(F17/1.11,0)</f>
        <v/>
      </c>
    </row>
    <row r="18" spans="1:7">
      <c r="A18" s="0" t="inlineStr">
        <is>
          <t>COMMUNITY</t>
        </is>
      </c>
      <c r="B18" s="0" t="inlineStr">
        <is>
          <t>INSTITUSI - GT</t>
        </is>
      </c>
      <c r="C18" s="0" t="inlineStr">
        <is>
          <t>OFFICE</t>
        </is>
      </c>
      <c r="D18" s="0">
        <f>(SUMIF('2026-07-04'!F3:F96,'Rekap by Type'!C18,'2026-07-04'!L3:L96))</f>
        <v/>
      </c>
      <c r="E18" s="0">
        <f>(SUMIF('2026-07-04'!F3:F96,'Rekap by Type'!C18,'2026-07-04'!I3:I96))</f>
        <v/>
      </c>
      <c r="F18" s="0">
        <f>(SUMIF('2026-07-04'!F3:F96,'Rekap by Type'!C18,'2026-07-04'!J3:J96))</f>
        <v/>
      </c>
      <c r="G18" s="0">
        <f>ROUND(F18/1.11,0)</f>
        <v/>
      </c>
    </row>
    <row r="19" spans="1:7">
      <c r="A19" s="0" t="inlineStr">
        <is>
          <t>COMMUNITY</t>
        </is>
      </c>
      <c r="B19" s="0" t="inlineStr">
        <is>
          <t>INSTITUSI - GT</t>
        </is>
      </c>
      <c r="C19" s="0" t="inlineStr">
        <is>
          <t>AIRLINE</t>
        </is>
      </c>
      <c r="D19" s="0">
        <f>(SUMIF('2026-07-04'!F3:F96,'Rekap by Type'!C19,'2026-07-04'!L3:L96))</f>
        <v/>
      </c>
      <c r="E19" s="0">
        <f>(SUMIF('2026-07-04'!F3:F96,'Rekap by Type'!C19,'2026-07-04'!I3:I96))</f>
        <v/>
      </c>
      <c r="F19" s="0">
        <f>(SUMIF('2026-07-04'!F3:F96,'Rekap by Type'!C19,'2026-07-04'!J3:J96))</f>
        <v/>
      </c>
      <c r="G19" s="0">
        <f>ROUND(F19/1.11,0)</f>
        <v/>
      </c>
    </row>
    <row r="20" spans="1:7">
      <c r="A20" s="0" t="inlineStr">
        <is>
          <t>COMMUNITY</t>
        </is>
      </c>
      <c r="B20" s="0" t="inlineStr">
        <is>
          <t>INSTITUSI - GT</t>
        </is>
      </c>
      <c r="C20" s="0" t="inlineStr">
        <is>
          <t>STOK ON HAND MANDIRI</t>
        </is>
      </c>
      <c r="D20" s="0">
        <f>(SUMIF('2026-07-04'!F3:F96,'Rekap by Type'!C20,'2026-07-04'!L3:L96))</f>
        <v/>
      </c>
      <c r="E20" s="0">
        <f>(SUMIF('2026-07-04'!F3:F96,'Rekap by Type'!C20,'2026-07-04'!I3:I96))</f>
        <v/>
      </c>
      <c r="F20" s="0">
        <f>(SUMIF('2026-07-04'!F3:F96,'Rekap by Type'!C20,'2026-07-04'!J3:J96))</f>
        <v/>
      </c>
      <c r="G20" s="0">
        <f>ROUND(F20/1.11,0)</f>
        <v/>
      </c>
    </row>
    <row r="21" spans="1:7">
      <c r="A21" s="0" t="inlineStr">
        <is>
          <t>COMMUNITY</t>
        </is>
      </c>
      <c r="B21" s="0" t="inlineStr">
        <is>
          <t>INSTITUSI - GT</t>
        </is>
      </c>
      <c r="C21" s="0" t="inlineStr">
        <is>
          <t>HORECA</t>
        </is>
      </c>
      <c r="D21" s="0">
        <f>(SUMIF('2026-07-04'!F3:F96,'Rekap by Type'!C21,'2026-07-04'!L3:L96))</f>
        <v/>
      </c>
      <c r="E21" s="0">
        <f>(SUMIF('2026-07-04'!F3:F96,'Rekap by Type'!C21,'2026-07-04'!I3:I96))</f>
        <v/>
      </c>
      <c r="F21" s="0">
        <f>(SUMIF('2026-07-04'!F3:F96,'Rekap by Type'!C21,'2026-07-04'!J3:J96))</f>
        <v/>
      </c>
      <c r="G21" s="0">
        <f>ROUND(F21/1.11,0)</f>
        <v/>
      </c>
    </row>
    <row r="22" spans="1:7">
      <c r="A22" s="0" t="inlineStr">
        <is>
          <t>COMMUNITY</t>
        </is>
      </c>
      <c r="B22" s="0" t="inlineStr">
        <is>
          <t>INSTITUSI - GT</t>
        </is>
      </c>
      <c r="C22" s="0" t="inlineStr">
        <is>
          <t>KOPERASI</t>
        </is>
      </c>
      <c r="D22" s="0">
        <f>(SUMIF('2026-07-04'!F3:F96,'Rekap by Type'!C22,'2026-07-04'!L3:L96))</f>
        <v/>
      </c>
      <c r="E22" s="0">
        <f>(SUMIF('2026-07-04'!F3:F96,'Rekap by Type'!C22,'2026-07-04'!I3:I96))</f>
        <v/>
      </c>
      <c r="F22" s="0">
        <f>(SUMIF('2026-07-04'!F3:F96,'Rekap by Type'!C22,'2026-07-04'!J3:J96))</f>
        <v/>
      </c>
      <c r="G22" s="0">
        <f>ROUND(F22/1.11,0)</f>
        <v/>
      </c>
    </row>
    <row r="23" spans="1:7">
      <c r="A23" s="0" t="inlineStr">
        <is>
          <t>COMMUNITY</t>
        </is>
      </c>
      <c r="B23" s="0" t="inlineStr">
        <is>
          <t>INSTITUSI - GT</t>
        </is>
      </c>
      <c r="C23" s="0" t="inlineStr">
        <is>
          <t>OTHERS INSTITUSI</t>
        </is>
      </c>
      <c r="D23" s="0">
        <f>(SUMIF('2026-07-04'!F3:F96,'Rekap by Type'!C23,'2026-07-04'!L3:L96))</f>
        <v/>
      </c>
      <c r="E23" s="0">
        <f>(SUMIF('2026-07-04'!F3:F96,'Rekap by Type'!C23,'2026-07-04'!I3:I96))</f>
        <v/>
      </c>
      <c r="F23" s="0">
        <f>(SUMIF('2026-07-04'!F3:F96,'Rekap by Type'!C23,'2026-07-04'!J3:J96))</f>
        <v/>
      </c>
      <c r="G23" s="0">
        <f>ROUND(F23/1.11,0)</f>
        <v/>
      </c>
    </row>
    <row r="24" spans="1:7">
      <c r="A24" s="0" t="inlineStr">
        <is>
          <t>COMMUNITY</t>
        </is>
      </c>
      <c r="B24" s="0" t="inlineStr">
        <is>
          <t>DN - AR</t>
        </is>
      </c>
      <c r="C24" s="0" t="inlineStr">
        <is>
          <t>DEBIT NOTED (DN)</t>
        </is>
      </c>
      <c r="D24" s="0">
        <f>(SUMIF('2026-07-04'!F3:F96,'Rekap by Type'!C24,'2026-07-04'!L3:L96))</f>
        <v/>
      </c>
      <c r="E24" s="0">
        <f>(SUMIF('2026-07-04'!F3:F96,'Rekap by Type'!C24,'2026-07-04'!I3:I96))</f>
        <v/>
      </c>
      <c r="F24" s="0">
        <f>(SUMIF('2026-07-04'!F3:F96,'Rekap by Type'!C24,'2026-07-04'!J3:J96))</f>
        <v/>
      </c>
      <c r="G24" s="0">
        <f>ROUND(F24/1.11,0)</f>
        <v/>
      </c>
    </row>
    <row r="25" spans="1:7">
      <c r="A25" s="0" t="inlineStr">
        <is>
          <t>SEKOLAH</t>
        </is>
      </c>
      <c r="B25" s="0" t="inlineStr">
        <is>
          <t>SEKOLAH</t>
        </is>
      </c>
      <c r="C25" s="0" t="inlineStr">
        <is>
          <t>SEKOLAH - BOTI</t>
        </is>
      </c>
      <c r="D25" s="0">
        <f>(SUMIF('2026-07-04'!F3:F96,'Rekap by Type'!C25,'2026-07-04'!L3:L96))</f>
        <v/>
      </c>
      <c r="E25" s="0">
        <f>(SUMIF('2026-07-04'!F3:F96,'Rekap by Type'!C25,'2026-07-04'!I3:I96))</f>
        <v/>
      </c>
      <c r="F25" s="0">
        <f>(SUMIF('2026-07-04'!F3:F96,'Rekap by Type'!C25,'2026-07-04'!J3:J96))</f>
        <v/>
      </c>
      <c r="G25" s="0">
        <f>ROUND(F25/1.11,0)</f>
        <v/>
      </c>
    </row>
    <row r="26" spans="1:7">
      <c r="A26" s="0" t="inlineStr">
        <is>
          <t>SEKOLAH</t>
        </is>
      </c>
      <c r="B26" s="0" t="inlineStr">
        <is>
          <t>SEKOLAH</t>
        </is>
      </c>
      <c r="C26" s="0" t="inlineStr">
        <is>
          <t>SEKOLAH - SARI ROTI</t>
        </is>
      </c>
      <c r="D26" s="0">
        <f>(SUMIF('2026-07-04'!F3:F96,'Rekap by Type'!C26,'2026-07-04'!L3:L96))</f>
        <v/>
      </c>
      <c r="E26" s="0">
        <f>(SUMIF('2026-07-04'!F3:F96,'Rekap by Type'!C26,'2026-07-04'!I3:I96))</f>
        <v/>
      </c>
      <c r="F26" s="0">
        <f>(SUMIF('2026-07-04'!F3:F96,'Rekap by Type'!C26,'2026-07-04'!J3:J96))</f>
        <v/>
      </c>
      <c r="G26" s="0">
        <f>ROUND(F26/1.11,0)</f>
        <v/>
      </c>
    </row>
    <row r="27" spans="1:7">
      <c r="A27" s="0" t="inlineStr">
        <is>
          <t>COMMUNITY</t>
        </is>
      </c>
      <c r="B27" s="0" t="inlineStr">
        <is>
          <t>COMMUNITY BASED ON CUMMUNION</t>
        </is>
      </c>
      <c r="C27" s="0" t="inlineStr">
        <is>
          <t>KEWIRAUSAHAAN (KWU) SEKOLAH</t>
        </is>
      </c>
      <c r="D27" s="0">
        <f>(SUMIF('2026-07-04'!F3:F96,'Rekap by Type'!C27,'2026-07-04'!L3:L96))</f>
        <v/>
      </c>
      <c r="E27" s="0">
        <f>(SUMIF('2026-07-04'!F3:F96,'Rekap by Type'!C27,'2026-07-04'!I3:I96))</f>
        <v/>
      </c>
      <c r="F27" s="0">
        <f>(SUMIF('2026-07-04'!F3:F96,'Rekap by Type'!C27,'2026-07-04'!J3:J96))</f>
        <v/>
      </c>
      <c r="G27" s="0">
        <f>ROUND(F27/1.11,0)</f>
        <v/>
      </c>
    </row>
    <row r="28" spans="1:7">
      <c r="A28" s="0" t="inlineStr">
        <is>
          <t>COMMUNITY</t>
        </is>
      </c>
      <c r="B28" s="0" t="inlineStr">
        <is>
          <t>COMMUNITY BASED ON CUMMUNION</t>
        </is>
      </c>
      <c r="C28" s="0" t="inlineStr">
        <is>
          <t>KEWIRAUSAHAAN (KWU) MANDIRI</t>
        </is>
      </c>
      <c r="D28" s="0">
        <f>(SUMIF('2026-07-04'!F3:F96,'Rekap by Type'!C28,'2026-07-04'!L3:L96))</f>
        <v/>
      </c>
      <c r="E28" s="0">
        <f>(SUMIF('2026-07-04'!F3:F96,'Rekap by Type'!C28,'2026-07-04'!I3:I96))</f>
        <v/>
      </c>
      <c r="F28" s="0">
        <f>(SUMIF('2026-07-04'!F3:F96,'Rekap by Type'!C28,'2026-07-04'!J3:J96))</f>
        <v/>
      </c>
      <c r="G28" s="0">
        <f>ROUND(F28/1.11,0)</f>
        <v/>
      </c>
    </row>
    <row r="29" spans="1:7">
      <c r="A29" s="0" t="inlineStr">
        <is>
          <t>WARUNG</t>
        </is>
      </c>
      <c r="B29" s="0" t="inlineStr">
        <is>
          <t>SR-COMMUNITY</t>
        </is>
      </c>
      <c r="C29" s="0" t="inlineStr">
        <is>
          <t>MCE</t>
        </is>
      </c>
      <c r="D29" s="0">
        <f>(SUMIF('2026-07-04'!F3:F96,'Rekap by Type'!C29,'2026-07-04'!L3:L96))</f>
        <v/>
      </c>
      <c r="E29" s="0">
        <f>(SUMIF('2026-07-04'!F3:F96,'Rekap by Type'!C29,'2026-07-04'!I3:I96))</f>
        <v/>
      </c>
      <c r="F29" s="0">
        <f>(SUMIF('2026-07-04'!F3:F96,'Rekap by Type'!C29,'2026-07-04'!J3:J96))</f>
        <v/>
      </c>
      <c r="G29" s="0">
        <f>ROUND(F29/1.11,0)</f>
        <v/>
      </c>
    </row>
    <row r="30" spans="1:7">
      <c r="A30" s="0" t="inlineStr">
        <is>
          <t>MTI</t>
        </is>
      </c>
      <c r="B30" s="0" t="inlineStr">
        <is>
          <t>LAYANAN KESEHATAN</t>
        </is>
      </c>
      <c r="C30" s="0" t="inlineStr">
        <is>
          <t>APOTEK</t>
        </is>
      </c>
      <c r="D30" s="0">
        <f>(SUMIF('2026-07-04'!F3:F96,'Rekap by Type'!C30,'2026-07-04'!L3:L96))</f>
        <v/>
      </c>
      <c r="E30" s="0">
        <f>(SUMIF('2026-07-04'!F3:F96,'Rekap by Type'!C30,'2026-07-04'!I3:I96))</f>
        <v/>
      </c>
      <c r="F30" s="0">
        <f>(SUMIF('2026-07-04'!F3:F96,'Rekap by Type'!C30,'2026-07-04'!J3:J96))</f>
        <v/>
      </c>
      <c r="G30" s="0">
        <f>ROUND(F30/1.11,0)</f>
        <v/>
      </c>
    </row>
    <row r="31" spans="1:7">
      <c r="A31" s="0" t="inlineStr">
        <is>
          <t>MTI</t>
        </is>
      </c>
      <c r="B31" s="0" t="inlineStr">
        <is>
          <t>LAYANAN KESEHATAN</t>
        </is>
      </c>
      <c r="C31" s="0" t="inlineStr">
        <is>
          <t>RUMAH SAKIT</t>
        </is>
      </c>
      <c r="D31" s="0">
        <f>(SUMIF('2026-07-04'!F3:F96,'Rekap by Type'!C31,'2026-07-04'!L3:L96))</f>
        <v/>
      </c>
      <c r="E31" s="0">
        <f>(SUMIF('2026-07-04'!F3:F96,'Rekap by Type'!C31,'2026-07-04'!I3:I96))</f>
        <v/>
      </c>
      <c r="F31" s="0">
        <f>(SUMIF('2026-07-04'!F3:F96,'Rekap by Type'!C31,'2026-07-04'!J3:J96))</f>
        <v/>
      </c>
      <c r="G31" s="0">
        <f>ROUND(F31/1.11,0)</f>
        <v/>
      </c>
    </row>
    <row r="32" spans="1:7">
      <c r="A32" s="0" t="inlineStr">
        <is>
          <t>MTI</t>
        </is>
      </c>
      <c r="B32" s="0" t="inlineStr">
        <is>
          <t>LAYANAN KESEHATAN</t>
        </is>
      </c>
      <c r="C32" s="0" t="inlineStr">
        <is>
          <t>TOKO OBAT</t>
        </is>
      </c>
      <c r="D32" s="0">
        <f>(SUMIF('2026-07-04'!F3:F96,'Rekap by Type'!C32,'2026-07-04'!L3:L96))</f>
        <v/>
      </c>
      <c r="E32" s="0">
        <f>(SUMIF('2026-07-04'!F3:F96,'Rekap by Type'!C32,'2026-07-04'!I3:I96))</f>
        <v/>
      </c>
      <c r="F32" s="0">
        <f>(SUMIF('2026-07-04'!F3:F96,'Rekap by Type'!C32,'2026-07-04'!J3:J96))</f>
        <v/>
      </c>
      <c r="G32" s="0">
        <f>ROUND(F32/1.11,0)</f>
        <v/>
      </c>
    </row>
    <row r="33" spans="1:7">
      <c r="A33" s="0" t="inlineStr">
        <is>
          <t>WARUNG</t>
        </is>
      </c>
      <c r="B33" s="0" t="inlineStr">
        <is>
          <t>WARUNG</t>
        </is>
      </c>
      <c r="C33" s="0" t="inlineStr">
        <is>
          <t>GROSIR REGULER</t>
        </is>
      </c>
      <c r="D33" s="0">
        <f>(SUMIF('2026-07-04'!F3:F96,'Rekap by Type'!C33,'2026-07-04'!L3:L96))</f>
        <v/>
      </c>
      <c r="E33" s="0">
        <f>(SUMIF('2026-07-04'!F3:F96,'Rekap by Type'!C33,'2026-07-04'!I3:I96))</f>
        <v/>
      </c>
      <c r="F33" s="0">
        <f>(SUMIF('2026-07-04'!F3:F96,'Rekap by Type'!C33,'2026-07-04'!J3:J96))</f>
        <v/>
      </c>
      <c r="G33" s="0">
        <f>ROUND(F33/1.11,0)</f>
        <v/>
      </c>
    </row>
    <row r="34" spans="1:7">
      <c r="A34" s="0" t="inlineStr">
        <is>
          <t>WARUNG</t>
        </is>
      </c>
      <c r="B34" s="0" t="inlineStr">
        <is>
          <t>WARUNG</t>
        </is>
      </c>
      <c r="C34" s="0" t="inlineStr">
        <is>
          <t>P&amp;D</t>
        </is>
      </c>
      <c r="D34" s="0">
        <f>(SUMIF('2026-07-04'!F3:F96,'Rekap by Type'!C34,'2026-07-04'!L3:L96))</f>
        <v/>
      </c>
      <c r="E34" s="0">
        <f>(SUMIF('2026-07-04'!F3:F96,'Rekap by Type'!C34,'2026-07-04'!I3:I96))</f>
        <v/>
      </c>
      <c r="F34" s="0">
        <f>(SUMIF('2026-07-04'!F3:F96,'Rekap by Type'!C34,'2026-07-04'!J3:J96))</f>
        <v/>
      </c>
      <c r="G34" s="0">
        <f>ROUND(F34/1.11,0)</f>
        <v/>
      </c>
    </row>
    <row r="35" spans="1:7">
      <c r="A35" s="0" t="inlineStr">
        <is>
          <t>WARUNG</t>
        </is>
      </c>
      <c r="B35" s="0" t="inlineStr">
        <is>
          <t>SMALL WARUNG</t>
        </is>
      </c>
      <c r="C35" s="0" t="inlineStr">
        <is>
          <t>WARUNG RE/NOO</t>
        </is>
      </c>
      <c r="D35" s="0">
        <f>(SUMIF('2026-07-04'!F3:F96,'Rekap by Type'!C35,'2026-07-04'!L3:L96))</f>
        <v/>
      </c>
      <c r="E35" s="0">
        <f>(SUMIF('2026-07-04'!F3:F96,'Rekap by Type'!C35,'2026-07-04'!I3:I96))</f>
        <v/>
      </c>
      <c r="F35" s="0">
        <f>(SUMIF('2026-07-04'!F3:F96,'Rekap by Type'!C35,'2026-07-04'!J3:J96))</f>
        <v/>
      </c>
      <c r="G35" s="0">
        <f>ROUND(F35/1.11,0)</f>
        <v/>
      </c>
    </row>
    <row r="36" spans="1:7">
      <c r="A36" s="0" t="inlineStr">
        <is>
          <t>WARUNG</t>
        </is>
      </c>
      <c r="B36" s="0" t="inlineStr">
        <is>
          <t>SR-COMMUNITY</t>
        </is>
      </c>
      <c r="C36" s="0" t="inlineStr">
        <is>
          <t>SRC</t>
        </is>
      </c>
      <c r="D36" s="0">
        <f>(SUMIF('2026-07-04'!F3:F96,'Rekap by Type'!C36,'2026-07-04'!L3:L96))</f>
        <v/>
      </c>
      <c r="E36" s="0">
        <f>(SUMIF('2026-07-04'!F3:F96,'Rekap by Type'!C36,'2026-07-04'!I3:I96))</f>
        <v/>
      </c>
      <c r="F36" s="0">
        <f>(SUMIF('2026-07-04'!F3:F96,'Rekap by Type'!C36,'2026-07-04'!J3:J96))</f>
        <v/>
      </c>
      <c r="G36" s="0">
        <f>ROUND(F36/1.11,0)</f>
        <v/>
      </c>
    </row>
    <row r="37" spans="1:7">
      <c r="A37" s="0" t="inlineStr">
        <is>
          <t>MR/MS ROTI HYBRID</t>
        </is>
      </c>
      <c r="B37" s="0" t="inlineStr">
        <is>
          <t>MR/MS ROTI HYBRID</t>
        </is>
      </c>
      <c r="C37" s="0" t="inlineStr">
        <is>
          <t>MR ROTI</t>
        </is>
      </c>
      <c r="D37" s="0">
        <f>(SUMIF('2026-07-04'!F3:F96,'Rekap by Type'!C37,'2026-07-04'!L3:L96))</f>
        <v/>
      </c>
      <c r="E37" s="0">
        <f>(SUMIF('2026-07-04'!F3:F96,'Rekap by Type'!C37,'2026-07-04'!I3:I96))</f>
        <v/>
      </c>
      <c r="F37" s="0">
        <f>(SUMIF('2026-07-04'!F3:F96,'Rekap by Type'!C37,'2026-07-04'!J3:J96))</f>
        <v/>
      </c>
      <c r="G37" s="0">
        <f>ROUND(F37/1.11,0)</f>
        <v/>
      </c>
    </row>
    <row r="38" spans="1:7">
      <c r="A38" s="0" t="inlineStr">
        <is>
          <t>MR/MS ROTI HYBRID</t>
        </is>
      </c>
      <c r="B38" s="0" t="inlineStr">
        <is>
          <t>MR/MS ROTI HYBRID</t>
        </is>
      </c>
      <c r="C38" s="0" t="inlineStr">
        <is>
          <t>MRS ROTI</t>
        </is>
      </c>
      <c r="D38" s="0">
        <f>(SUMIF('2026-07-04'!F3:F96,'Rekap by Type'!C38,'2026-07-04'!L3:L96))</f>
        <v/>
      </c>
      <c r="E38" s="0">
        <f>(SUMIF('2026-07-04'!F3:F96,'Rekap by Type'!C38,'2026-07-04'!I3:I96))</f>
        <v/>
      </c>
      <c r="F38" s="0">
        <f>(SUMIF('2026-07-04'!F3:F96,'Rekap by Type'!C38,'2026-07-04'!J3:J96))</f>
        <v/>
      </c>
      <c r="G38" s="0">
        <f>ROUND(F38/1.11,0)</f>
        <v/>
      </c>
    </row>
    <row r="39" spans="1:7">
      <c r="A39" s="0" t="inlineStr">
        <is>
          <t>MR/MS ROTI HYBRID</t>
        </is>
      </c>
      <c r="B39" s="0" t="inlineStr">
        <is>
          <t>MR/MS ROTI HYBRID</t>
        </is>
      </c>
      <c r="C39" s="0" t="inlineStr">
        <is>
          <t>SPIDER</t>
        </is>
      </c>
      <c r="D39" s="0">
        <f>(SUMIF('2026-07-04'!F3:F96,'Rekap by Type'!C39,'2026-07-04'!L3:L96))</f>
        <v/>
      </c>
      <c r="E39" s="0">
        <f>(SUMIF('2026-07-04'!F3:F96,'Rekap by Type'!C39,'2026-07-04'!I3:I96))</f>
        <v/>
      </c>
      <c r="F39" s="0">
        <f>(SUMIF('2026-07-04'!F3:F96,'Rekap by Type'!C39,'2026-07-04'!J3:J96))</f>
        <v/>
      </c>
      <c r="G39" s="0">
        <f>ROUND(F39/1.11,0)</f>
        <v/>
      </c>
    </row>
    <row r="40" spans="1:7">
      <c r="A40" s="0" t="inlineStr">
        <is>
          <t>MTI</t>
        </is>
      </c>
      <c r="B40" s="0" t="inlineStr">
        <is>
          <t>MTI-NON PKP</t>
        </is>
      </c>
      <c r="C40" s="0" t="inlineStr">
        <is>
          <t>MTI RE/NOO (NONPKP)</t>
        </is>
      </c>
      <c r="D40" s="0">
        <f>(SUMIF('2026-07-04'!F3:F96,'Rekap by Type'!C40,'2026-07-04'!L3:L96))</f>
        <v/>
      </c>
      <c r="E40" s="0">
        <f>(SUMIF('2026-07-04'!F3:F96,'Rekap by Type'!C40,'2026-07-04'!I3:I96))</f>
        <v/>
      </c>
      <c r="F40" s="0">
        <f>(SUMIF('2026-07-04'!F3:F96,'Rekap by Type'!C40,'2026-07-04'!J3:J96))</f>
        <v/>
      </c>
      <c r="G40" s="0">
        <f>ROUND(F40/1.11,0)</f>
        <v/>
      </c>
    </row>
    <row r="41" spans="1:7">
      <c r="A41" s="0" t="inlineStr">
        <is>
          <t>WARUNG</t>
        </is>
      </c>
      <c r="B41" s="0" t="inlineStr">
        <is>
          <t>SR-COMMUNITY</t>
        </is>
      </c>
      <c r="C41" s="0" t="inlineStr">
        <is>
          <t>HOME SERVICES</t>
        </is>
      </c>
      <c r="D41" s="0">
        <f>(SUMIF('2026-07-04'!F3:F96,'Rekap by Type'!C41,'2026-07-04'!L3:L96))</f>
        <v/>
      </c>
      <c r="E41" s="0">
        <f>(SUMIF('2026-07-04'!F3:F96,'Rekap by Type'!C41,'2026-07-04'!I3:I96))</f>
        <v/>
      </c>
      <c r="F41" s="0">
        <f>(SUMIF('2026-07-04'!F3:F96,'Rekap by Type'!C41,'2026-07-04'!J3:J96))</f>
        <v/>
      </c>
      <c r="G41" s="0">
        <f>ROUND(F41/1.11,0)</f>
        <v/>
      </c>
    </row>
    <row r="42" spans="1:7">
      <c r="B42" s="0" t="inlineStr">
        <is>
          <t>HIMPAUDI</t>
        </is>
      </c>
      <c r="C42" s="0" t="inlineStr">
        <is>
          <t>BUNDA SARI ROTI</t>
        </is>
      </c>
      <c r="D42" s="0">
        <f>(SUMIF('2026-07-04'!F3:F96,'Rekap by Type'!C42,'2026-07-04'!L3:L96))</f>
        <v/>
      </c>
      <c r="E42" s="0">
        <f>(SUMIF('2026-07-04'!F3:F96,'Rekap by Type'!C42,'2026-07-04'!I3:I96))</f>
        <v/>
      </c>
      <c r="F42" s="0">
        <f>(SUMIF('2026-07-04'!F3:F96,'Rekap by Type'!C42,'2026-07-04'!J3:J96))</f>
        <v/>
      </c>
      <c r="G42" s="0">
        <f>ROUND(F42/1.11,0)</f>
        <v/>
      </c>
    </row>
    <row r="43" spans="1:7">
      <c r="A43" s="0" t="inlineStr">
        <is>
          <t>e-Trade</t>
        </is>
      </c>
      <c r="B43" s="0" t="inlineStr">
        <is>
          <t>E-COMMERCE</t>
        </is>
      </c>
      <c r="C43" s="0" t="inlineStr">
        <is>
          <t>TANIHUB</t>
        </is>
      </c>
      <c r="D43" s="0">
        <f>(SUMIF('2026-07-04'!F3:F96,'Rekap by Type'!C43,'2026-07-04'!L3:L96))</f>
        <v/>
      </c>
      <c r="E43" s="0">
        <f>(SUMIF('2026-07-04'!F3:F96,'Rekap by Type'!C43,'2026-07-04'!I3:I96))</f>
        <v/>
      </c>
      <c r="F43" s="0">
        <f>(SUMIF('2026-07-04'!F3:F96,'Rekap by Type'!C43,'2026-07-04'!J3:J96))</f>
        <v/>
      </c>
      <c r="G43" s="0">
        <f>ROUND(F43/1.11,0)</f>
        <v/>
      </c>
    </row>
    <row r="44" spans="1:7">
      <c r="A44" s="0" t="inlineStr">
        <is>
          <t>e-Trade</t>
        </is>
      </c>
      <c r="B44" s="0" t="inlineStr">
        <is>
          <t>E-COMMERCE</t>
        </is>
      </c>
      <c r="C44" s="0" t="inlineStr">
        <is>
          <t>SURPLUSID</t>
        </is>
      </c>
      <c r="D44" s="0">
        <f>(SUMIF('2026-07-04'!F3:F96,'Rekap by Type'!C44,'2026-07-04'!L3:L96))</f>
        <v/>
      </c>
      <c r="E44" s="0">
        <f>(SUMIF('2026-07-04'!F3:F96,'Rekap by Type'!C44,'2026-07-04'!I3:I96))</f>
        <v/>
      </c>
      <c r="F44" s="0">
        <f>(SUMIF('2026-07-04'!F3:F96,'Rekap by Type'!C44,'2026-07-04'!J3:J96))</f>
        <v/>
      </c>
      <c r="G44" s="0">
        <f>ROUND(F44/1.11,0)</f>
        <v/>
      </c>
    </row>
    <row r="45" spans="1:7">
      <c r="A45" s="0" t="inlineStr">
        <is>
          <t>MR/MS ROTI HYBRID</t>
        </is>
      </c>
      <c r="B45" s="0" t="inlineStr">
        <is>
          <t>MR/MS ROTI HYBRID</t>
        </is>
      </c>
      <c r="C45" s="0" t="inlineStr">
        <is>
          <t>TOKO MARABUNTA</t>
        </is>
      </c>
      <c r="D45" s="0">
        <f>(SUMIF('2026-07-04'!F3:F96,'Rekap by Type'!C45,'2026-07-04'!L3:L96))</f>
        <v/>
      </c>
      <c r="E45" s="0">
        <f>(SUMIF('2026-07-04'!F3:F96,'Rekap by Type'!C45,'2026-07-04'!I3:I96))</f>
        <v/>
      </c>
      <c r="F45" s="0">
        <f>(SUMIF('2026-07-04'!F3:F96,'Rekap by Type'!C45,'2026-07-04'!J3:J96))</f>
        <v/>
      </c>
      <c r="G45" s="0">
        <f>ROUND(F45/1.11,0)</f>
        <v/>
      </c>
    </row>
    <row r="46" spans="1:7">
      <c r="A46" s="0" t="inlineStr">
        <is>
          <t>e-Trade</t>
        </is>
      </c>
      <c r="B46" s="0" t="inlineStr">
        <is>
          <t>E-COMMERCE</t>
        </is>
      </c>
      <c r="C46" s="0" t="inlineStr">
        <is>
          <t>NIC E-TRADE</t>
        </is>
      </c>
      <c r="D46" s="0">
        <f>(SUMIF('2026-07-04'!F3:F96,'Rekap by Type'!C46,'2026-07-04'!L3:L96))</f>
        <v/>
      </c>
      <c r="E46" s="0">
        <f>(SUMIF('2026-07-04'!F3:F96,'Rekap by Type'!C46,'2026-07-04'!I3:I96))</f>
        <v/>
      </c>
      <c r="F46" s="0">
        <f>(SUMIF('2026-07-04'!F3:F96,'Rekap by Type'!C46,'2026-07-04'!J3:J96))</f>
        <v/>
      </c>
      <c r="G46" s="0">
        <f>ROUND(F46/1.11,0)</f>
        <v/>
      </c>
    </row>
    <row r="47" spans="1:7">
      <c r="A47" s="0" t="inlineStr">
        <is>
          <t>COMMUNITY</t>
        </is>
      </c>
      <c r="B47" s="0" t="inlineStr">
        <is>
          <t>DN - AR</t>
        </is>
      </c>
      <c r="C47" s="0" t="inlineStr">
        <is>
          <t>Debit Noted BS (DN BS)</t>
        </is>
      </c>
      <c r="D47" s="0">
        <f>(SUMIF('2026-07-04'!F3:F96,'Rekap by Type'!C47,'2026-07-04'!L3:L96))</f>
        <v/>
      </c>
      <c r="E47" s="0">
        <f>(SUMIF('2026-07-04'!F3:F96,'Rekap by Type'!C47,'2026-07-04'!I3:I96))</f>
        <v/>
      </c>
      <c r="F47" s="0">
        <f>(SUMIF('2026-07-04'!F3:F96,'Rekap by Type'!C47,'2026-07-04'!J3:J96))</f>
        <v/>
      </c>
      <c r="G47" s="0">
        <f>ROUND(F47/1.11,0)</f>
        <v/>
      </c>
    </row>
    <row r="48" spans="1:7">
      <c r="A48" s="0" t="inlineStr">
        <is>
          <t>WARUNG</t>
        </is>
      </c>
      <c r="B48" s="0" t="inlineStr">
        <is>
          <t>SMALL WARUNG</t>
        </is>
      </c>
      <c r="C48" s="0" t="inlineStr">
        <is>
          <t>WARUNG CASH</t>
        </is>
      </c>
      <c r="D48" s="0">
        <f>(SUMIF('2026-07-04'!F3:F96,'Rekap by Type'!C48,'2026-07-04'!L3:L96))</f>
        <v/>
      </c>
      <c r="E48" s="0">
        <f>(SUMIF('2026-07-04'!F3:F96,'Rekap by Type'!C48,'2026-07-04'!I3:I96))</f>
        <v/>
      </c>
      <c r="F48" s="0">
        <f>(SUMIF('2026-07-04'!F3:F96,'Rekap by Type'!C48,'2026-07-04'!J3:J96))</f>
        <v/>
      </c>
      <c r="G48" s="0">
        <f>ROUND(F48/1.11,0)</f>
        <v/>
      </c>
    </row>
    <row r="49" spans="1:7">
      <c r="A49" s="0" t="inlineStr">
        <is>
          <t>MTI</t>
        </is>
      </c>
      <c r="B49" s="0" t="inlineStr">
        <is>
          <t>MTI</t>
        </is>
      </c>
      <c r="C49" s="0" t="inlineStr">
        <is>
          <t>MTI CASH</t>
        </is>
      </c>
      <c r="D49" s="0">
        <f>(SUMIF('2026-07-04'!F3:F96,'Rekap by Type'!C49,'2026-07-04'!L3:L96))</f>
        <v/>
      </c>
      <c r="E49" s="0">
        <f>(SUMIF('2026-07-04'!F3:F96,'Rekap by Type'!C49,'2026-07-04'!I3:I96))</f>
        <v/>
      </c>
      <c r="F49" s="0">
        <f>(SUMIF('2026-07-04'!F3:F96,'Rekap by Type'!C49,'2026-07-04'!J3:J96))</f>
        <v/>
      </c>
      <c r="G49" s="0">
        <f>ROUND(F49/1.11,0)</f>
        <v/>
      </c>
    </row>
    <row r="50" spans="1:7">
      <c r="A50" s="0" t="inlineStr">
        <is>
          <t>WARUNG</t>
        </is>
      </c>
      <c r="B50" s="0" t="inlineStr">
        <is>
          <t>SMALL WARUNG</t>
        </is>
      </c>
      <c r="C50" s="0" t="inlineStr">
        <is>
          <t>WARUNG - A</t>
        </is>
      </c>
      <c r="D50" s="0">
        <f>(SUMIF('2026-07-04'!F3:F96,'Rekap by Type'!C50,'2026-07-04'!L3:L96))</f>
        <v/>
      </c>
      <c r="E50" s="0">
        <f>(SUMIF('2026-07-04'!F3:F96,'Rekap by Type'!C50,'2026-07-04'!I3:I96))</f>
        <v/>
      </c>
      <c r="F50" s="0">
        <f>(SUMIF('2026-07-04'!F3:F96,'Rekap by Type'!C50,'2026-07-04'!J3:J96))</f>
        <v/>
      </c>
      <c r="G50" s="0">
        <f>ROUND(F50/1.11,0)</f>
        <v/>
      </c>
    </row>
    <row r="51" spans="1:7">
      <c r="A51" s="0" t="inlineStr">
        <is>
          <t>WARUNG</t>
        </is>
      </c>
      <c r="B51" s="0" t="inlineStr">
        <is>
          <t>SMALL WARUNG</t>
        </is>
      </c>
      <c r="C51" s="0" t="inlineStr">
        <is>
          <t>WARUNG - B</t>
        </is>
      </c>
      <c r="D51" s="0">
        <f>(SUMIF('2026-07-04'!F3:F96,'Rekap by Type'!C51,'2026-07-04'!L3:L96))</f>
        <v/>
      </c>
      <c r="E51" s="0">
        <f>(SUMIF('2026-07-04'!F3:F96,'Rekap by Type'!C51,'2026-07-04'!I3:I96))</f>
        <v/>
      </c>
      <c r="F51" s="0">
        <f>(SUMIF('2026-07-04'!F3:F96,'Rekap by Type'!C51,'2026-07-04'!J3:J96))</f>
        <v/>
      </c>
      <c r="G51" s="0">
        <f>ROUND(F51/1.11,0)</f>
        <v/>
      </c>
    </row>
    <row r="52" spans="1:7">
      <c r="A52" s="0" t="inlineStr">
        <is>
          <t>WARUNG</t>
        </is>
      </c>
      <c r="B52" s="0" t="inlineStr">
        <is>
          <t>WARUNG</t>
        </is>
      </c>
      <c r="C52" s="0" t="inlineStr">
        <is>
          <t>WARUNG - C1</t>
        </is>
      </c>
      <c r="D52" s="0">
        <f>(SUMIF('2026-07-04'!F3:F96,'Rekap by Type'!C52,'2026-07-04'!L3:L96))</f>
        <v/>
      </c>
      <c r="E52" s="0">
        <f>(SUMIF('2026-07-04'!F3:F96,'Rekap by Type'!C52,'2026-07-04'!I3:I96))</f>
        <v/>
      </c>
      <c r="F52" s="0">
        <f>(SUMIF('2026-07-04'!F3:F96,'Rekap by Type'!C52,'2026-07-04'!J3:J96))</f>
        <v/>
      </c>
      <c r="G52" s="0">
        <f>ROUND(F52/1.11,0)</f>
        <v/>
      </c>
    </row>
    <row r="53" spans="1:7">
      <c r="A53" s="0" t="inlineStr">
        <is>
          <t>WARUNG</t>
        </is>
      </c>
      <c r="B53" s="0" t="inlineStr">
        <is>
          <t>SMALL WARUNG</t>
        </is>
      </c>
      <c r="C53" s="0" t="inlineStr">
        <is>
          <t>WARUNG - C2</t>
        </is>
      </c>
      <c r="D53" s="0">
        <f>(SUMIF('2026-07-04'!F3:F96,'Rekap by Type'!C53,'2026-07-04'!L3:L96))</f>
        <v/>
      </c>
      <c r="E53" s="0">
        <f>(SUMIF('2026-07-04'!F3:F96,'Rekap by Type'!C53,'2026-07-04'!I3:I96))</f>
        <v/>
      </c>
      <c r="F53" s="0">
        <f>(SUMIF('2026-07-04'!F3:F96,'Rekap by Type'!C53,'2026-07-04'!J3:J96))</f>
        <v/>
      </c>
      <c r="G53" s="0">
        <f>ROUND(F53/1.11,0)</f>
        <v/>
      </c>
    </row>
    <row r="54" spans="1:7">
      <c r="A54" s="0" t="inlineStr">
        <is>
          <t>WARUNG</t>
        </is>
      </c>
      <c r="B54" s="0" t="inlineStr">
        <is>
          <t>SMALL WARUNG</t>
        </is>
      </c>
      <c r="C54" s="0" t="inlineStr">
        <is>
          <t>WARUNG - D</t>
        </is>
      </c>
      <c r="D54" s="0">
        <f>(SUMIF('2026-07-04'!F3:F96,'Rekap by Type'!C54,'2026-07-04'!L3:L96))</f>
        <v/>
      </c>
      <c r="E54" s="0">
        <f>(SUMIF('2026-07-04'!F3:F96,'Rekap by Type'!C54,'2026-07-04'!I3:I96))</f>
        <v/>
      </c>
      <c r="F54" s="0">
        <f>(SUMIF('2026-07-04'!F3:F96,'Rekap by Type'!C54,'2026-07-04'!J3:J96))</f>
        <v/>
      </c>
      <c r="G54" s="0">
        <f>ROUND(F54/1.11,0)</f>
        <v/>
      </c>
    </row>
    <row r="55" spans="1:7">
      <c r="A55" s="0" t="inlineStr">
        <is>
          <t>MTI</t>
        </is>
      </c>
      <c r="B55" s="0" t="inlineStr">
        <is>
          <t>MTI</t>
        </is>
      </c>
      <c r="C55" s="0" t="inlineStr">
        <is>
          <t>MTI - A</t>
        </is>
      </c>
      <c r="D55" s="0">
        <f>(SUMIF('2026-07-04'!F3:F96,'Rekap by Type'!C55,'2026-07-04'!L3:L96))</f>
        <v/>
      </c>
      <c r="E55" s="0">
        <f>(SUMIF('2026-07-04'!F3:F96,'Rekap by Type'!C55,'2026-07-04'!I3:I96))</f>
        <v/>
      </c>
      <c r="F55" s="0">
        <f>(SUMIF('2026-07-04'!F3:F96,'Rekap by Type'!C55,'2026-07-04'!J3:J96))</f>
        <v/>
      </c>
      <c r="G55" s="0">
        <f>ROUND(F55/1.11,0)</f>
        <v/>
      </c>
    </row>
    <row r="56" spans="1:7">
      <c r="A56" s="0" t="inlineStr">
        <is>
          <t>MTI</t>
        </is>
      </c>
      <c r="B56" s="0" t="inlineStr">
        <is>
          <t>MTI</t>
        </is>
      </c>
      <c r="C56" s="0" t="inlineStr">
        <is>
          <t>MTI - B</t>
        </is>
      </c>
      <c r="D56" s="0">
        <f>(SUMIF('2026-07-04'!F3:F96,'Rekap by Type'!C56,'2026-07-04'!L3:L96))</f>
        <v/>
      </c>
      <c r="E56" s="0">
        <f>(SUMIF('2026-07-04'!F3:F96,'Rekap by Type'!C56,'2026-07-04'!I3:I96))</f>
        <v/>
      </c>
      <c r="F56" s="0">
        <f>(SUMIF('2026-07-04'!F3:F96,'Rekap by Type'!C56,'2026-07-04'!J3:J96))</f>
        <v/>
      </c>
      <c r="G56" s="0">
        <f>ROUND(F56/1.11,0)</f>
        <v/>
      </c>
    </row>
    <row r="57" spans="1:7">
      <c r="A57" s="0" t="inlineStr">
        <is>
          <t>MTI</t>
        </is>
      </c>
      <c r="B57" s="0" t="inlineStr">
        <is>
          <t>MTI</t>
        </is>
      </c>
      <c r="C57" s="0" t="inlineStr">
        <is>
          <t>MTI - C1</t>
        </is>
      </c>
      <c r="D57" s="0">
        <f>(SUMIF('2026-07-04'!F3:F96,'Rekap by Type'!C57,'2026-07-04'!L3:L96))</f>
        <v/>
      </c>
      <c r="E57" s="0">
        <f>(SUMIF('2026-07-04'!F3:F96,'Rekap by Type'!C57,'2026-07-04'!I3:I96))</f>
        <v/>
      </c>
      <c r="F57" s="0">
        <f>(SUMIF('2026-07-04'!F3:F96,'Rekap by Type'!C57,'2026-07-04'!J3:J96))</f>
        <v/>
      </c>
      <c r="G57" s="0">
        <f>ROUND(F57/1.11,0)</f>
        <v/>
      </c>
    </row>
    <row r="58" spans="1:7">
      <c r="A58" s="0" t="inlineStr">
        <is>
          <t>MTI</t>
        </is>
      </c>
      <c r="B58" s="0" t="inlineStr">
        <is>
          <t>MTI</t>
        </is>
      </c>
      <c r="C58" s="0" t="inlineStr">
        <is>
          <t>MTI - C2</t>
        </is>
      </c>
      <c r="D58" s="0">
        <f>(SUMIF('2026-07-04'!F3:F96,'Rekap by Type'!C58,'2026-07-04'!L3:L96))</f>
        <v/>
      </c>
      <c r="E58" s="0">
        <f>(SUMIF('2026-07-04'!F3:F96,'Rekap by Type'!C58,'2026-07-04'!I3:I96))</f>
        <v/>
      </c>
      <c r="F58" s="0">
        <f>(SUMIF('2026-07-04'!F3:F96,'Rekap by Type'!C58,'2026-07-04'!J3:J96))</f>
        <v/>
      </c>
      <c r="G58" s="0">
        <f>ROUND(F58/1.11,0)</f>
        <v/>
      </c>
    </row>
    <row r="59" spans="1:7">
      <c r="A59" s="0" t="inlineStr">
        <is>
          <t>MTI</t>
        </is>
      </c>
      <c r="B59" s="0" t="inlineStr">
        <is>
          <t>MTI</t>
        </is>
      </c>
      <c r="C59" s="0" t="inlineStr">
        <is>
          <t>MTI - D</t>
        </is>
      </c>
      <c r="D59" s="0">
        <f>(SUMIF('2026-07-04'!F3:F96,'Rekap by Type'!C59,'2026-07-04'!L3:L96))</f>
        <v/>
      </c>
      <c r="E59" s="0">
        <f>(SUMIF('2026-07-04'!F3:F96,'Rekap by Type'!C59,'2026-07-04'!I3:I96))</f>
        <v/>
      </c>
      <c r="F59" s="0">
        <f>(SUMIF('2026-07-04'!F3:F96,'Rekap by Type'!C59,'2026-07-04'!J3:J96))</f>
        <v/>
      </c>
      <c r="G59" s="0">
        <f>ROUND(F59/1.11,0)</f>
        <v/>
      </c>
    </row>
    <row r="60" spans="1:7">
      <c r="A60" s="0" t="inlineStr">
        <is>
          <t>e-Trade</t>
        </is>
      </c>
      <c r="B60" s="0" t="inlineStr">
        <is>
          <t>E-COMMERCE</t>
        </is>
      </c>
      <c r="C60" s="0" t="inlineStr">
        <is>
          <t>GRABMART</t>
        </is>
      </c>
      <c r="D60" s="0">
        <f>(SUMIF('2026-07-04'!F3:F96,'Rekap by Type'!C60,'2026-07-04'!L3:L96))</f>
        <v/>
      </c>
      <c r="E60" s="0">
        <f>(SUMIF('2026-07-04'!F3:F96,'Rekap by Type'!C60,'2026-07-04'!I3:I96))</f>
        <v/>
      </c>
      <c r="F60" s="0">
        <f>(SUMIF('2026-07-04'!F3:F96,'Rekap by Type'!C60,'2026-07-04'!J3:J96))</f>
        <v/>
      </c>
      <c r="G60" s="0">
        <f>ROUND(F60/1.11,0)</f>
        <v/>
      </c>
    </row>
    <row r="61" spans="1:7">
      <c r="B61" s="0" t="inlineStr">
        <is>
          <t>SUB-DISTR</t>
        </is>
      </c>
      <c r="C61" s="0" t="inlineStr">
        <is>
          <t>Mitra Distributor</t>
        </is>
      </c>
      <c r="D61" s="0">
        <f>(SUMIF('2026-07-04'!F3:F96,'Rekap by Type'!C61,'2026-07-04'!L3:L96))</f>
        <v/>
      </c>
      <c r="E61" s="0">
        <f>(SUMIF('2026-07-04'!F3:F96,'Rekap by Type'!C61,'2026-07-04'!I3:I96))</f>
        <v/>
      </c>
      <c r="F61" s="0">
        <f>(SUMIF('2026-07-04'!F3:F96,'Rekap by Type'!C61,'2026-07-04'!J3:J96))</f>
        <v/>
      </c>
      <c r="G61" s="0">
        <f>ROUND(F61/1.11,0)</f>
        <v/>
      </c>
    </row>
    <row r="62" spans="1:7">
      <c r="A62" s="0" t="inlineStr">
        <is>
          <t>SEKOLAH</t>
        </is>
      </c>
      <c r="B62" s="0" t="inlineStr">
        <is>
          <t>SEKOLAH</t>
        </is>
      </c>
      <c r="C62" s="0" t="inlineStr">
        <is>
          <t>STUDENT</t>
        </is>
      </c>
      <c r="D62" s="0">
        <f>(SUMIF('2026-07-04'!F3:F96,'Rekap by Type'!C62,'2026-07-04'!L3:L96))</f>
        <v/>
      </c>
      <c r="E62" s="0">
        <f>(SUMIF('2026-07-04'!F3:F96,'Rekap by Type'!C62,'2026-07-04'!I3:I96))</f>
        <v/>
      </c>
      <c r="F62" s="0">
        <f>(SUMIF('2026-07-04'!F3:F96,'Rekap by Type'!C62,'2026-07-04'!J3:J96))</f>
        <v/>
      </c>
      <c r="G62" s="0">
        <f>ROUND(F62/1.11,0)</f>
        <v/>
      </c>
    </row>
    <row r="63" spans="1:7">
      <c r="A63" s="0" t="inlineStr">
        <is>
          <t>SEKOLAH</t>
        </is>
      </c>
      <c r="B63" s="0" t="inlineStr">
        <is>
          <t>SEKOLAH</t>
        </is>
      </c>
      <c r="C63" s="0" t="inlineStr">
        <is>
          <t>LEMBAGA PENDIDIKAN</t>
        </is>
      </c>
      <c r="D63" s="0">
        <f>(SUMIF('2026-07-04'!F3:F96,'Rekap by Type'!C63,'2026-07-04'!L3:L96))</f>
        <v/>
      </c>
      <c r="E63" s="0">
        <f>(SUMIF('2026-07-04'!F3:F96,'Rekap by Type'!C63,'2026-07-04'!I3:I96))</f>
        <v/>
      </c>
      <c r="F63" s="0">
        <f>(SUMIF('2026-07-04'!F3:F96,'Rekap by Type'!C63,'2026-07-04'!J3:J96))</f>
        <v/>
      </c>
      <c r="G63" s="0">
        <f>ROUND(F63/1.11,0)</f>
        <v/>
      </c>
    </row>
    <row r="64" spans="1:7">
      <c r="A64" s="0" t="inlineStr">
        <is>
          <t>SEKOLAH</t>
        </is>
      </c>
      <c r="B64" s="0" t="inlineStr">
        <is>
          <t>SEKOLAH</t>
        </is>
      </c>
      <c r="C64" s="0" t="inlineStr">
        <is>
          <t>UNIVERSITY</t>
        </is>
      </c>
      <c r="D64" s="0">
        <f>(SUMIF('2026-07-04'!F3:F96,'Rekap by Type'!C64,'2026-07-04'!L3:L96))</f>
        <v/>
      </c>
      <c r="E64" s="0">
        <f>(SUMIF('2026-07-04'!F3:F96,'Rekap by Type'!C64,'2026-07-04'!I3:I96))</f>
        <v/>
      </c>
      <c r="F64" s="0">
        <f>(SUMIF('2026-07-04'!F3:F96,'Rekap by Type'!C64,'2026-07-04'!J3:J96))</f>
        <v/>
      </c>
      <c r="G64" s="0">
        <f>ROUND(F64/1.11,0)</f>
        <v/>
      </c>
    </row>
    <row r="65" spans="1:7">
      <c r="A65" s="0" t="inlineStr">
        <is>
          <t>SEKOLAH</t>
        </is>
      </c>
      <c r="B65" s="0" t="inlineStr">
        <is>
          <t>SEKOLAH</t>
        </is>
      </c>
      <c r="C65" s="0" t="inlineStr">
        <is>
          <t>PESANTREN</t>
        </is>
      </c>
      <c r="D65" s="0">
        <f>(SUMIF('2026-07-04'!F3:F96,'Rekap by Type'!C65,'2026-07-04'!L3:L96))</f>
        <v/>
      </c>
      <c r="E65" s="0">
        <f>(SUMIF('2026-07-04'!F3:F96,'Rekap by Type'!C65,'2026-07-04'!I3:I96))</f>
        <v/>
      </c>
      <c r="F65" s="0">
        <f>(SUMIF('2026-07-04'!F3:F96,'Rekap by Type'!C65,'2026-07-04'!J3:J96))</f>
        <v/>
      </c>
      <c r="G65" s="0">
        <f>ROUND(F65/1.11,0)</f>
        <v/>
      </c>
    </row>
    <row r="66" spans="1:7">
      <c r="A66" s="0" t="inlineStr">
        <is>
          <t>WARUNG</t>
        </is>
      </c>
      <c r="B66" s="0" t="inlineStr">
        <is>
          <t>SR-COMMUNITY</t>
        </is>
      </c>
      <c r="C66" s="0" t="inlineStr">
        <is>
          <t>IIC</t>
        </is>
      </c>
      <c r="D66" s="0">
        <f>(SUMIF('2026-07-04'!F3:F96,'Rekap by Type'!C66,'2026-07-04'!L3:L96))</f>
        <v/>
      </c>
      <c r="E66" s="0">
        <f>(SUMIF('2026-07-04'!F3:F96,'Rekap by Type'!C66,'2026-07-04'!I3:I96))</f>
        <v/>
      </c>
      <c r="F66" s="0">
        <f>(SUMIF('2026-07-04'!F3:F96,'Rekap by Type'!C66,'2026-07-04'!J3:J96))</f>
        <v/>
      </c>
      <c r="G66" s="0">
        <f>ROUND(F66/1.11,0)</f>
        <v/>
      </c>
    </row>
    <row r="67" spans="1:7">
      <c r="A67" s="0" t="inlineStr">
        <is>
          <t>WARUNG</t>
        </is>
      </c>
      <c r="B67" s="0" t="inlineStr">
        <is>
          <t>SR-COMMUNITY</t>
        </is>
      </c>
      <c r="C67" s="0" t="inlineStr">
        <is>
          <t>CHANNEL STRATEGIC</t>
        </is>
      </c>
      <c r="D67" s="0">
        <f>(SUMIF('2026-07-04'!F3:F96,'Rekap by Type'!C67,'2026-07-04'!L3:L96))</f>
        <v/>
      </c>
      <c r="E67" s="0">
        <f>(SUMIF('2026-07-04'!F3:F96,'Rekap by Type'!C67,'2026-07-04'!I3:I96))</f>
        <v/>
      </c>
      <c r="F67" s="0">
        <f>(SUMIF('2026-07-04'!F3:F96,'Rekap by Type'!C67,'2026-07-04'!J3:J96))</f>
        <v/>
      </c>
      <c r="G67" s="0">
        <f>ROUND(F67/1.11,0)</f>
        <v/>
      </c>
    </row>
    <row r="68" spans="1:7">
      <c r="A68" s="0" t="inlineStr">
        <is>
          <t>PRIVATE LABEL</t>
        </is>
      </c>
      <c r="B68" s="0" t="inlineStr">
        <is>
          <t>Sari Choco Sub-Dist</t>
        </is>
      </c>
      <c r="C68" s="0" t="inlineStr">
        <is>
          <t>SARI CHOCO MILK MITRA DISTRIBUTOR</t>
        </is>
      </c>
      <c r="D68" s="0">
        <f>(SUMIF('2026-07-04'!F3:F96,'Rekap by Type'!C68,'2026-07-04'!L3:L96))</f>
        <v/>
      </c>
      <c r="E68" s="0">
        <f>(SUMIF('2026-07-04'!F3:F96,'Rekap by Type'!C68,'2026-07-04'!I3:I96))</f>
        <v/>
      </c>
      <c r="F68" s="0">
        <f>(SUMIF('2026-07-04'!F3:F96,'Rekap by Type'!C68,'2026-07-04'!J3:J96))</f>
        <v/>
      </c>
      <c r="G68" s="0">
        <f>ROUND(F68/1.11,0)</f>
        <v/>
      </c>
    </row>
    <row r="69" spans="1:7">
      <c r="A69" s="0" t="inlineStr">
        <is>
          <t>MTI</t>
        </is>
      </c>
      <c r="B69" s="0" t="inlineStr">
        <is>
          <t>LAYANAN KESEHATAN</t>
        </is>
      </c>
      <c r="C69" s="0" t="inlineStr">
        <is>
          <t>KIMIA FARMA</t>
        </is>
      </c>
      <c r="D69" s="0">
        <f>(SUMIF('2026-07-04'!F3:F96,'Rekap by Type'!C69,'2026-07-04'!L3:L96))</f>
        <v/>
      </c>
      <c r="E69" s="0">
        <f>(SUMIF('2026-07-04'!F3:F96,'Rekap by Type'!C69,'2026-07-04'!I3:I96))</f>
        <v/>
      </c>
      <c r="F69" s="0">
        <f>(SUMIF('2026-07-04'!F3:F96,'Rekap by Type'!C69,'2026-07-04'!J3:J96))</f>
        <v/>
      </c>
      <c r="G69" s="0">
        <f>ROUND(F69/1.11,0)</f>
        <v/>
      </c>
    </row>
    <row r="70" spans="1:7">
      <c r="A70" s="0" t="inlineStr">
        <is>
          <t>INDOSARI FOOD SOLUTIONS</t>
        </is>
      </c>
      <c r="B70" s="0" t="inlineStr">
        <is>
          <t>BAKERY</t>
        </is>
      </c>
      <c r="C70" s="0" t="inlineStr">
        <is>
          <t>BAKERY INTERNATIONAL CHAIN(IFS)</t>
        </is>
      </c>
      <c r="D70" s="0">
        <f>(SUMIF('2026-07-04'!F3:F96,'Rekap by Type'!C70,'2026-07-04'!L3:L96))</f>
        <v/>
      </c>
      <c r="E70" s="0">
        <f>(SUMIF('2026-07-04'!F3:F96,'Rekap by Type'!C70,'2026-07-04'!I3:I96))</f>
        <v/>
      </c>
      <c r="F70" s="0">
        <f>(SUMIF('2026-07-04'!F3:F96,'Rekap by Type'!C70,'2026-07-04'!J3:J96))</f>
        <v/>
      </c>
      <c r="G70" s="0">
        <f>ROUND(F70/1.11,0)</f>
        <v/>
      </c>
    </row>
    <row r="71" spans="1:7">
      <c r="A71" s="0" t="inlineStr">
        <is>
          <t>INDOSARI FOOD SOLUTIONS</t>
        </is>
      </c>
      <c r="B71" s="0" t="inlineStr">
        <is>
          <t>BAKERY</t>
        </is>
      </c>
      <c r="C71" s="0" t="inlineStr">
        <is>
          <t>BAKERY LOCAL(IFS)</t>
        </is>
      </c>
      <c r="D71" s="0">
        <f>(SUMIF('2026-07-04'!F3:F96,'Rekap by Type'!C71,'2026-07-04'!L3:L96))</f>
        <v/>
      </c>
      <c r="E71" s="0">
        <f>(SUMIF('2026-07-04'!F3:F96,'Rekap by Type'!C71,'2026-07-04'!I3:I96))</f>
        <v/>
      </c>
      <c r="F71" s="0">
        <f>(SUMIF('2026-07-04'!F3:F96,'Rekap by Type'!C71,'2026-07-04'!J3:J96))</f>
        <v/>
      </c>
      <c r="G71" s="0">
        <f>ROUND(F71/1.11,0)</f>
        <v/>
      </c>
    </row>
    <row r="72" spans="1:7">
      <c r="A72" s="0" t="inlineStr">
        <is>
          <t>INDOSARI FOOD SOLUTIONS</t>
        </is>
      </c>
      <c r="B72" s="0" t="inlineStr">
        <is>
          <t>BAKERY</t>
        </is>
      </c>
      <c r="C72" s="0" t="inlineStr">
        <is>
          <t>BAKERY LOCAL CHAIN(IFS)</t>
        </is>
      </c>
      <c r="D72" s="0">
        <f>(SUMIF('2026-07-04'!F3:F96,'Rekap by Type'!C72,'2026-07-04'!L3:L96))</f>
        <v/>
      </c>
      <c r="E72" s="0">
        <f>(SUMIF('2026-07-04'!F3:F96,'Rekap by Type'!C72,'2026-07-04'!I3:I96))</f>
        <v/>
      </c>
      <c r="F72" s="0">
        <f>(SUMIF('2026-07-04'!F3:F96,'Rekap by Type'!C72,'2026-07-04'!J3:J96))</f>
        <v/>
      </c>
      <c r="G72" s="0">
        <f>ROUND(F72/1.11,0)</f>
        <v/>
      </c>
    </row>
    <row r="73" spans="1:7">
      <c r="A73" s="0" t="inlineStr">
        <is>
          <t>INDOSARI FOOD SOLUTIONS</t>
        </is>
      </c>
      <c r="B73" s="0" t="inlineStr">
        <is>
          <t>BAKERY</t>
        </is>
      </c>
      <c r="C73" s="0" t="inlineStr">
        <is>
          <t>BAKERY MODERN TRADE (MT)(IFS)</t>
        </is>
      </c>
      <c r="D73" s="0">
        <f>(SUMIF('2026-07-04'!F3:F96,'Rekap by Type'!C73,'2026-07-04'!L3:L96))</f>
        <v/>
      </c>
      <c r="E73" s="0">
        <f>(SUMIF('2026-07-04'!F3:F96,'Rekap by Type'!C73,'2026-07-04'!I3:I96))</f>
        <v/>
      </c>
      <c r="F73" s="0">
        <f>(SUMIF('2026-07-04'!F3:F96,'Rekap by Type'!C73,'2026-07-04'!J3:J96))</f>
        <v/>
      </c>
      <c r="G73" s="0">
        <f>ROUND(F73/1.11,0)</f>
        <v/>
      </c>
    </row>
    <row r="74" spans="1:7">
      <c r="A74" s="0" t="inlineStr">
        <is>
          <t>INDOSARI FOOD SOLUTIONS</t>
        </is>
      </c>
      <c r="B74" s="0" t="inlineStr">
        <is>
          <t>CATERING</t>
        </is>
      </c>
      <c r="C74" s="0" t="inlineStr">
        <is>
          <t>AIRPORT LOUNGE(IFS)</t>
        </is>
      </c>
      <c r="D74" s="0">
        <f>(SUMIF('2026-07-04'!F3:F96,'Rekap by Type'!C74,'2026-07-04'!L3:L96))</f>
        <v/>
      </c>
      <c r="E74" s="0">
        <f>(SUMIF('2026-07-04'!F3:F96,'Rekap by Type'!C74,'2026-07-04'!I3:I96))</f>
        <v/>
      </c>
      <c r="F74" s="0">
        <f>(SUMIF('2026-07-04'!F3:F96,'Rekap by Type'!C74,'2026-07-04'!J3:J96))</f>
        <v/>
      </c>
      <c r="G74" s="0">
        <f>ROUND(F74/1.11,0)</f>
        <v/>
      </c>
    </row>
    <row r="75" spans="1:7">
      <c r="A75" s="0" t="inlineStr">
        <is>
          <t>INDOSARI FOOD SOLUTIONS</t>
        </is>
      </c>
      <c r="B75" s="0" t="inlineStr">
        <is>
          <t>CATERING</t>
        </is>
      </c>
      <c r="C75" s="0" t="inlineStr">
        <is>
          <t>CATERING(IFS)</t>
        </is>
      </c>
      <c r="D75" s="0">
        <f>(SUMIF('2026-07-04'!F3:F96,'Rekap by Type'!C75,'2026-07-04'!L3:L96))</f>
        <v/>
      </c>
      <c r="E75" s="0">
        <f>(SUMIF('2026-07-04'!F3:F96,'Rekap by Type'!C75,'2026-07-04'!I3:I96))</f>
        <v/>
      </c>
      <c r="F75" s="0">
        <f>(SUMIF('2026-07-04'!F3:F96,'Rekap by Type'!C75,'2026-07-04'!J3:J96))</f>
        <v/>
      </c>
      <c r="G75" s="0">
        <f>ROUND(F75/1.11,0)</f>
        <v/>
      </c>
    </row>
    <row r="76" spans="1:7">
      <c r="A76" s="0" t="inlineStr">
        <is>
          <t>INDOSARI FOOD SOLUTIONS</t>
        </is>
      </c>
      <c r="B76" s="0" t="inlineStr">
        <is>
          <t>CATERING</t>
        </is>
      </c>
      <c r="C76" s="0" t="inlineStr">
        <is>
          <t>FUNCTION HALL(IFS)</t>
        </is>
      </c>
      <c r="D76" s="0">
        <f>(SUMIF('2026-07-04'!F3:F96,'Rekap by Type'!C76,'2026-07-04'!L3:L96))</f>
        <v/>
      </c>
      <c r="E76" s="0">
        <f>(SUMIF('2026-07-04'!F3:F96,'Rekap by Type'!C76,'2026-07-04'!I3:I96))</f>
        <v/>
      </c>
      <c r="F76" s="0">
        <f>(SUMIF('2026-07-04'!F3:F96,'Rekap by Type'!C76,'2026-07-04'!J3:J96))</f>
        <v/>
      </c>
      <c r="G76" s="0">
        <f>ROUND(F76/1.11,0)</f>
        <v/>
      </c>
    </row>
    <row r="77" spans="1:7">
      <c r="A77" s="0" t="inlineStr">
        <is>
          <t>INDOSARI FOOD SOLUTIONS</t>
        </is>
      </c>
      <c r="B77" s="0" t="inlineStr">
        <is>
          <t>DIPPING COUNTER</t>
        </is>
      </c>
      <c r="C77" s="0" t="inlineStr">
        <is>
          <t>COUNTER F &amp; B(IFS)</t>
        </is>
      </c>
      <c r="D77" s="0">
        <f>(SUMIF('2026-07-04'!F3:F96,'Rekap by Type'!C77,'2026-07-04'!L3:L96))</f>
        <v/>
      </c>
      <c r="E77" s="0">
        <f>(SUMIF('2026-07-04'!F3:F96,'Rekap by Type'!C77,'2026-07-04'!I3:I96))</f>
        <v/>
      </c>
      <c r="F77" s="0">
        <f>(SUMIF('2026-07-04'!F3:F96,'Rekap by Type'!C77,'2026-07-04'!J3:J96))</f>
        <v/>
      </c>
      <c r="G77" s="0">
        <f>ROUND(F77/1.11,0)</f>
        <v/>
      </c>
    </row>
    <row r="78" spans="1:7">
      <c r="A78" s="0" t="inlineStr">
        <is>
          <t>INDOSARI FOOD SOLUTIONS</t>
        </is>
      </c>
      <c r="B78" s="0" t="inlineStr">
        <is>
          <t>DIPPING COUNTER</t>
        </is>
      </c>
      <c r="C78" s="0" t="inlineStr">
        <is>
          <t>MOBILE F&amp;B(IFS)</t>
        </is>
      </c>
      <c r="D78" s="0">
        <f>(SUMIF('2026-07-04'!F3:F96,'Rekap by Type'!C78,'2026-07-04'!L3:L96))</f>
        <v/>
      </c>
      <c r="E78" s="0">
        <f>(SUMIF('2026-07-04'!F3:F96,'Rekap by Type'!C78,'2026-07-04'!I3:I96))</f>
        <v/>
      </c>
      <c r="F78" s="0">
        <f>(SUMIF('2026-07-04'!F3:F96,'Rekap by Type'!C78,'2026-07-04'!J3:J96))</f>
        <v/>
      </c>
      <c r="G78" s="0">
        <f>ROUND(F78/1.11,0)</f>
        <v/>
      </c>
    </row>
    <row r="79" spans="1:7">
      <c r="A79" s="0" t="inlineStr">
        <is>
          <t>INDOSARI FOOD SOLUTIONS</t>
        </is>
      </c>
      <c r="B79" s="0" t="inlineStr">
        <is>
          <t>FAST FOOD</t>
        </is>
      </c>
      <c r="C79" s="0" t="inlineStr">
        <is>
          <t>FAST FOOD INTERNATIONAL CHAIN(IFS)</t>
        </is>
      </c>
      <c r="D79" s="0">
        <f>(SUMIF('2026-07-04'!F3:F96,'Rekap by Type'!C79,'2026-07-04'!L3:L96))</f>
        <v/>
      </c>
      <c r="E79" s="0">
        <f>(SUMIF('2026-07-04'!F3:F96,'Rekap by Type'!C79,'2026-07-04'!I3:I96))</f>
        <v/>
      </c>
      <c r="F79" s="0">
        <f>(SUMIF('2026-07-04'!F3:F96,'Rekap by Type'!C79,'2026-07-04'!J3:J96))</f>
        <v/>
      </c>
      <c r="G79" s="0">
        <f>ROUND(F79/1.11,0)</f>
        <v/>
      </c>
    </row>
    <row r="80" spans="1:7">
      <c r="A80" s="0" t="inlineStr">
        <is>
          <t>INDOSARI FOOD SOLUTIONS</t>
        </is>
      </c>
      <c r="B80" s="0" t="inlineStr">
        <is>
          <t>FAST FOOD</t>
        </is>
      </c>
      <c r="C80" s="0" t="inlineStr">
        <is>
          <t>FAST FOOD LOCAL CHAIN(IFS)</t>
        </is>
      </c>
      <c r="D80" s="0">
        <f>(SUMIF('2026-07-04'!F3:F96,'Rekap by Type'!C80,'2026-07-04'!L3:L96))</f>
        <v/>
      </c>
      <c r="E80" s="0">
        <f>(SUMIF('2026-07-04'!F3:F96,'Rekap by Type'!C80,'2026-07-04'!I3:I96))</f>
        <v/>
      </c>
      <c r="F80" s="0">
        <f>(SUMIF('2026-07-04'!F3:F96,'Rekap by Type'!C80,'2026-07-04'!J3:J96))</f>
        <v/>
      </c>
      <c r="G80" s="0">
        <f>ROUND(F80/1.11,0)</f>
        <v/>
      </c>
    </row>
    <row r="81" spans="1:7">
      <c r="A81" s="0" t="inlineStr">
        <is>
          <t>INDOSARI FOOD SOLUTIONS</t>
        </is>
      </c>
      <c r="B81" s="0" t="inlineStr">
        <is>
          <t>HOTEL</t>
        </is>
      </c>
      <c r="C81" s="0" t="inlineStr">
        <is>
          <t>APARTMENT WITH HOTEL FACILITY(IFS)</t>
        </is>
      </c>
      <c r="D81" s="0">
        <f>(SUMIF('2026-07-04'!F3:F96,'Rekap by Type'!C81,'2026-07-04'!L3:L96))</f>
        <v/>
      </c>
      <c r="E81" s="0">
        <f>(SUMIF('2026-07-04'!F3:F96,'Rekap by Type'!C81,'2026-07-04'!I3:I96))</f>
        <v/>
      </c>
      <c r="F81" s="0">
        <f>(SUMIF('2026-07-04'!F3:F96,'Rekap by Type'!C81,'2026-07-04'!J3:J96))</f>
        <v/>
      </c>
      <c r="G81" s="0">
        <f>ROUND(F81/1.11,0)</f>
        <v/>
      </c>
    </row>
    <row r="82" spans="1:7">
      <c r="A82" s="0" t="inlineStr">
        <is>
          <t>INDOSARI FOOD SOLUTIONS</t>
        </is>
      </c>
      <c r="B82" s="0" t="inlineStr">
        <is>
          <t>HOTEL</t>
        </is>
      </c>
      <c r="C82" s="0" t="inlineStr">
        <is>
          <t>CRUISE SHIP(IFS)</t>
        </is>
      </c>
      <c r="D82" s="0">
        <f>(SUMIF('2026-07-04'!F3:F96,'Rekap by Type'!C82,'2026-07-04'!L3:L96))</f>
        <v/>
      </c>
      <c r="E82" s="0">
        <f>(SUMIF('2026-07-04'!F3:F96,'Rekap by Type'!C82,'2026-07-04'!I3:I96))</f>
        <v/>
      </c>
      <c r="F82" s="0">
        <f>(SUMIF('2026-07-04'!F3:F96,'Rekap by Type'!C82,'2026-07-04'!J3:J96))</f>
        <v/>
      </c>
      <c r="G82" s="0">
        <f>ROUND(F82/1.11,0)</f>
        <v/>
      </c>
    </row>
    <row r="83" spans="1:7">
      <c r="A83" s="0" t="inlineStr">
        <is>
          <t>INDOSARI FOOD SOLUTIONS</t>
        </is>
      </c>
      <c r="B83" s="0" t="inlineStr">
        <is>
          <t>HOTEL</t>
        </is>
      </c>
      <c r="C83" s="0" t="inlineStr">
        <is>
          <t>HOTEL BINTANG 3 KE BAWAH(IFS)</t>
        </is>
      </c>
      <c r="D83" s="0">
        <f>(SUMIF('2026-07-04'!F3:F96,'Rekap by Type'!C83,'2026-07-04'!L3:L96))</f>
        <v/>
      </c>
      <c r="E83" s="0">
        <f>(SUMIF('2026-07-04'!F3:F96,'Rekap by Type'!C83,'2026-07-04'!I3:I96))</f>
        <v/>
      </c>
      <c r="F83" s="0">
        <f>(SUMIF('2026-07-04'!F3:F96,'Rekap by Type'!C83,'2026-07-04'!J3:J96))</f>
        <v/>
      </c>
      <c r="G83" s="0">
        <f>ROUND(F83/1.11,0)</f>
        <v/>
      </c>
    </row>
    <row r="84" spans="1:7">
      <c r="A84" s="0" t="inlineStr">
        <is>
          <t>INDOSARI FOOD SOLUTIONS</t>
        </is>
      </c>
      <c r="B84" s="0" t="inlineStr">
        <is>
          <t>HOTEL</t>
        </is>
      </c>
      <c r="C84" s="0" t="inlineStr">
        <is>
          <t>HOTEL BINTANG 4 KE ATAS(IFS)</t>
        </is>
      </c>
      <c r="D84" s="0">
        <f>(SUMIF('2026-07-04'!F3:F96,'Rekap by Type'!C84,'2026-07-04'!L3:L96))</f>
        <v/>
      </c>
      <c r="E84" s="0">
        <f>(SUMIF('2026-07-04'!F3:F96,'Rekap by Type'!C84,'2026-07-04'!I3:I96))</f>
        <v/>
      </c>
      <c r="F84" s="0">
        <f>(SUMIF('2026-07-04'!F3:F96,'Rekap by Type'!C84,'2026-07-04'!J3:J96))</f>
        <v/>
      </c>
      <c r="G84" s="0">
        <f>ROUND(F84/1.11,0)</f>
        <v/>
      </c>
    </row>
    <row r="85" spans="1:7">
      <c r="A85" s="0" t="inlineStr">
        <is>
          <t>INDOSARI FOOD SOLUTIONS</t>
        </is>
      </c>
      <c r="B85" s="0" t="inlineStr">
        <is>
          <t>INSTITUTION</t>
        </is>
      </c>
      <c r="C85" s="0" t="inlineStr">
        <is>
          <t>COOKING &amp; BAKING COURSE(IFS)</t>
        </is>
      </c>
      <c r="D85" s="0">
        <f>(SUMIF('2026-07-04'!F3:F96,'Rekap by Type'!C85,'2026-07-04'!L3:L96))</f>
        <v/>
      </c>
      <c r="E85" s="0">
        <f>(SUMIF('2026-07-04'!F3:F96,'Rekap by Type'!C85,'2026-07-04'!I3:I96))</f>
        <v/>
      </c>
      <c r="F85" s="0">
        <f>(SUMIF('2026-07-04'!F3:F96,'Rekap by Type'!C85,'2026-07-04'!J3:J96))</f>
        <v/>
      </c>
      <c r="G85" s="0">
        <f>ROUND(F85/1.11,0)</f>
        <v/>
      </c>
    </row>
    <row r="86" spans="1:7">
      <c r="A86" s="0" t="inlineStr">
        <is>
          <t>INDOSARI FOOD SOLUTIONS</t>
        </is>
      </c>
      <c r="B86" s="0" t="inlineStr">
        <is>
          <t>INSTITUTION</t>
        </is>
      </c>
      <c r="C86" s="0" t="inlineStr">
        <is>
          <t>CULINARY SCHOOL(IFS)</t>
        </is>
      </c>
      <c r="D86" s="0">
        <f>(SUMIF('2026-07-04'!F3:F96,'Rekap by Type'!C86,'2026-07-04'!L3:L96))</f>
        <v/>
      </c>
      <c r="E86" s="0">
        <f>(SUMIF('2026-07-04'!F3:F96,'Rekap by Type'!C86,'2026-07-04'!I3:I96))</f>
        <v/>
      </c>
      <c r="F86" s="0">
        <f>(SUMIF('2026-07-04'!F3:F96,'Rekap by Type'!C86,'2026-07-04'!J3:J96))</f>
        <v/>
      </c>
      <c r="G86" s="0">
        <f>ROUND(F86/1.11,0)</f>
        <v/>
      </c>
    </row>
    <row r="87" spans="1:7">
      <c r="A87" s="0" t="inlineStr">
        <is>
          <t>INDOSARI FOOD SOLUTIONS</t>
        </is>
      </c>
      <c r="B87" s="0" t="inlineStr">
        <is>
          <t>INSTITUTION</t>
        </is>
      </c>
      <c r="C87" s="0" t="inlineStr">
        <is>
          <t>EMBASSY(IFS)</t>
        </is>
      </c>
      <c r="D87" s="0">
        <f>(SUMIF('2026-07-04'!F3:F96,'Rekap by Type'!C87,'2026-07-04'!L3:L96))</f>
        <v/>
      </c>
      <c r="E87" s="0">
        <f>(SUMIF('2026-07-04'!F3:F96,'Rekap by Type'!C87,'2026-07-04'!I3:I96))</f>
        <v/>
      </c>
      <c r="F87" s="0">
        <f>(SUMIF('2026-07-04'!F3:F96,'Rekap by Type'!C87,'2026-07-04'!J3:J96))</f>
        <v/>
      </c>
      <c r="G87" s="0">
        <f>ROUND(F87/1.11,0)</f>
        <v/>
      </c>
    </row>
    <row r="88" spans="1:7">
      <c r="A88" s="0" t="inlineStr">
        <is>
          <t>INDOSARI FOOD SOLUTIONS</t>
        </is>
      </c>
      <c r="B88" s="0" t="inlineStr">
        <is>
          <t>INSTITUTION</t>
        </is>
      </c>
      <c r="C88" s="0" t="inlineStr">
        <is>
          <t>OFFICE(IFS)</t>
        </is>
      </c>
      <c r="D88" s="0">
        <f>(SUMIF('2026-07-04'!F3:F96,'Rekap by Type'!C88,'2026-07-04'!L3:L96))</f>
        <v/>
      </c>
      <c r="E88" s="0">
        <f>(SUMIF('2026-07-04'!F3:F96,'Rekap by Type'!C88,'2026-07-04'!I3:I96))</f>
        <v/>
      </c>
      <c r="F88" s="0">
        <f>(SUMIF('2026-07-04'!F3:F96,'Rekap by Type'!C88,'2026-07-04'!J3:J96))</f>
        <v/>
      </c>
      <c r="G88" s="0">
        <f>ROUND(F88/1.11,0)</f>
        <v/>
      </c>
    </row>
    <row r="89" spans="1:7">
      <c r="A89" s="0" t="inlineStr">
        <is>
          <t>INDOSARI FOOD SOLUTIONS</t>
        </is>
      </c>
      <c r="B89" s="0" t="inlineStr">
        <is>
          <t>INSTITUTION</t>
        </is>
      </c>
      <c r="C89" s="0" t="inlineStr">
        <is>
          <t>RUMAH SAKIT / KLINIK(IFS)</t>
        </is>
      </c>
      <c r="D89" s="0">
        <f>(SUMIF('2026-07-04'!F3:F96,'Rekap by Type'!C89,'2026-07-04'!L3:L96))</f>
        <v/>
      </c>
      <c r="E89" s="0">
        <f>(SUMIF('2026-07-04'!F3:F96,'Rekap by Type'!C89,'2026-07-04'!I3:I96))</f>
        <v/>
      </c>
      <c r="F89" s="0">
        <f>(SUMIF('2026-07-04'!F3:F96,'Rekap by Type'!C89,'2026-07-04'!J3:J96))</f>
        <v/>
      </c>
      <c r="G89" s="0">
        <f>ROUND(F89/1.11,0)</f>
        <v/>
      </c>
    </row>
    <row r="90" spans="1:7">
      <c r="A90" s="0" t="inlineStr">
        <is>
          <t>INDOSARI FOOD SOLUTIONS</t>
        </is>
      </c>
      <c r="B90" s="0" t="inlineStr">
        <is>
          <t>RESTAURANT</t>
        </is>
      </c>
      <c r="C90" s="0" t="inlineStr">
        <is>
          <t>BAR/PUB/DISKOTIK&amp;LOUNGE(IFS)</t>
        </is>
      </c>
      <c r="D90" s="0">
        <f>(SUMIF('2026-07-04'!F3:F96,'Rekap by Type'!C90,'2026-07-04'!L3:L96))</f>
        <v/>
      </c>
      <c r="E90" s="0">
        <f>(SUMIF('2026-07-04'!F3:F96,'Rekap by Type'!C90,'2026-07-04'!I3:I96))</f>
        <v/>
      </c>
      <c r="F90" s="0">
        <f>(SUMIF('2026-07-04'!F3:F96,'Rekap by Type'!C90,'2026-07-04'!J3:J96))</f>
        <v/>
      </c>
      <c r="G90" s="0">
        <f>ROUND(F90/1.11,0)</f>
        <v/>
      </c>
    </row>
    <row r="91" spans="1:7">
      <c r="A91" s="0" t="inlineStr">
        <is>
          <t>INDOSARI FOOD SOLUTIONS</t>
        </is>
      </c>
      <c r="B91" s="0" t="inlineStr">
        <is>
          <t>RESTAURANT</t>
        </is>
      </c>
      <c r="C91" s="0" t="inlineStr">
        <is>
          <t>BIOSKOP(IFS)</t>
        </is>
      </c>
      <c r="D91" s="0">
        <f>(SUMIF('2026-07-04'!F3:F96,'Rekap by Type'!C91,'2026-07-04'!L3:L96))</f>
        <v/>
      </c>
      <c r="E91" s="0">
        <f>(SUMIF('2026-07-04'!F3:F96,'Rekap by Type'!C91,'2026-07-04'!I3:I96))</f>
        <v/>
      </c>
      <c r="F91" s="0">
        <f>(SUMIF('2026-07-04'!F3:F96,'Rekap by Type'!C91,'2026-07-04'!J3:J96))</f>
        <v/>
      </c>
      <c r="G91" s="0">
        <f>ROUND(F91/1.11,0)</f>
        <v/>
      </c>
    </row>
    <row r="92" spans="1:7">
      <c r="A92" s="0" t="inlineStr">
        <is>
          <t>INDOSARI FOOD SOLUTIONS</t>
        </is>
      </c>
      <c r="B92" s="0" t="inlineStr">
        <is>
          <t>RESTAURANT</t>
        </is>
      </c>
      <c r="C92" s="0" t="inlineStr">
        <is>
          <t>CAFE(IFS)</t>
        </is>
      </c>
      <c r="D92" s="0">
        <f>(SUMIF('2026-07-04'!F3:F96,'Rekap by Type'!C92,'2026-07-04'!L3:L96))</f>
        <v/>
      </c>
      <c r="E92" s="0">
        <f>(SUMIF('2026-07-04'!F3:F96,'Rekap by Type'!C92,'2026-07-04'!I3:I96))</f>
        <v/>
      </c>
      <c r="F92" s="0">
        <f>(SUMIF('2026-07-04'!F3:F96,'Rekap by Type'!C92,'2026-07-04'!J3:J96))</f>
        <v/>
      </c>
      <c r="G92" s="0">
        <f>ROUND(F92/1.11,0)</f>
        <v/>
      </c>
    </row>
    <row r="93" spans="1:7">
      <c r="A93" s="0" t="inlineStr">
        <is>
          <t>INDOSARI FOOD SOLUTIONS</t>
        </is>
      </c>
      <c r="B93" s="0" t="inlineStr">
        <is>
          <t>RESTAURANT</t>
        </is>
      </c>
      <c r="C93" s="0" t="inlineStr">
        <is>
          <t>CANTEEN(IFS)</t>
        </is>
      </c>
      <c r="D93" s="0">
        <f>(SUMIF('2026-07-04'!F3:F96,'Rekap by Type'!C93,'2026-07-04'!L3:L96))</f>
        <v/>
      </c>
      <c r="E93" s="0">
        <f>(SUMIF('2026-07-04'!F3:F96,'Rekap by Type'!C93,'2026-07-04'!I3:I96))</f>
        <v/>
      </c>
      <c r="F93" s="0">
        <f>(SUMIF('2026-07-04'!F3:F96,'Rekap by Type'!C93,'2026-07-04'!J3:J96))</f>
        <v/>
      </c>
      <c r="G93" s="0">
        <f>ROUND(F93/1.11,0)</f>
        <v/>
      </c>
    </row>
    <row r="94" spans="1:7">
      <c r="A94" s="0" t="inlineStr">
        <is>
          <t>INDOSARI FOOD SOLUTIONS</t>
        </is>
      </c>
      <c r="B94" s="0" t="inlineStr">
        <is>
          <t>RESTAURANT</t>
        </is>
      </c>
      <c r="C94" s="0" t="inlineStr">
        <is>
          <t>COFFEE SHOP/KOPI TIAM(IFS)</t>
        </is>
      </c>
      <c r="D94" s="0">
        <f>(SUMIF('2026-07-04'!F3:F96,'Rekap by Type'!C94,'2026-07-04'!L3:L96))</f>
        <v/>
      </c>
      <c r="E94" s="0">
        <f>(SUMIF('2026-07-04'!F3:F96,'Rekap by Type'!C94,'2026-07-04'!I3:I96))</f>
        <v/>
      </c>
      <c r="F94" s="0">
        <f>(SUMIF('2026-07-04'!F3:F96,'Rekap by Type'!C94,'2026-07-04'!J3:J96))</f>
        <v/>
      </c>
      <c r="G94" s="0">
        <f>ROUND(F94/1.11,0)</f>
        <v/>
      </c>
    </row>
    <row r="95" spans="1:7">
      <c r="A95" s="0" t="inlineStr">
        <is>
          <t>INDOSARI FOOD SOLUTIONS</t>
        </is>
      </c>
      <c r="B95" s="0" t="inlineStr">
        <is>
          <t>RESTAURANT</t>
        </is>
      </c>
      <c r="C95" s="0" t="inlineStr">
        <is>
          <t>GOLF CLUB / DRIVING RANGE(IFS)</t>
        </is>
      </c>
      <c r="D95" s="0">
        <f>(SUMIF('2026-07-04'!F3:F96,'Rekap by Type'!C95,'2026-07-04'!L3:L96))</f>
        <v/>
      </c>
      <c r="E95" s="0">
        <f>(SUMIF('2026-07-04'!F3:F96,'Rekap by Type'!C95,'2026-07-04'!I3:I96))</f>
        <v/>
      </c>
      <c r="F95" s="0">
        <f>(SUMIF('2026-07-04'!F3:F96,'Rekap by Type'!C95,'2026-07-04'!J3:J96))</f>
        <v/>
      </c>
      <c r="G95" s="0">
        <f>ROUND(F95/1.11,0)</f>
        <v/>
      </c>
    </row>
    <row r="96" spans="1:7">
      <c r="A96" s="0" t="inlineStr">
        <is>
          <t>INDOSARI FOOD SOLUTIONS</t>
        </is>
      </c>
      <c r="B96" s="0" t="inlineStr">
        <is>
          <t>RESTAURANT</t>
        </is>
      </c>
      <c r="C96" s="0" t="inlineStr">
        <is>
          <t>KAPAL PELAYARAN(IFS)</t>
        </is>
      </c>
      <c r="D96" s="0">
        <f>(SUMIF('2026-07-04'!F3:F96,'Rekap by Type'!C96,'2026-07-04'!L3:L96))</f>
        <v/>
      </c>
      <c r="E96" s="0">
        <f>(SUMIF('2026-07-04'!F3:F96,'Rekap by Type'!C96,'2026-07-04'!I3:I96))</f>
        <v/>
      </c>
      <c r="F96" s="0">
        <f>(SUMIF('2026-07-04'!F3:F96,'Rekap by Type'!C96,'2026-07-04'!J3:J96))</f>
        <v/>
      </c>
      <c r="G96" s="0">
        <f>ROUND(F96/1.11,0)</f>
        <v/>
      </c>
    </row>
    <row r="97" spans="1:7">
      <c r="A97" s="0" t="inlineStr">
        <is>
          <t>INDOSARI FOOD SOLUTIONS</t>
        </is>
      </c>
      <c r="B97" s="0" t="inlineStr">
        <is>
          <t>RESTAURANT</t>
        </is>
      </c>
      <c r="C97" s="0" t="inlineStr">
        <is>
          <t>KARAOKE(IFS)</t>
        </is>
      </c>
      <c r="D97" s="0">
        <f>(SUMIF('2026-07-04'!F3:F96,'Rekap by Type'!C97,'2026-07-04'!L3:L96))</f>
        <v/>
      </c>
      <c r="E97" s="0">
        <f>(SUMIF('2026-07-04'!F3:F96,'Rekap by Type'!C97,'2026-07-04'!I3:I96))</f>
        <v/>
      </c>
      <c r="F97" s="0">
        <f>(SUMIF('2026-07-04'!F3:F96,'Rekap by Type'!C97,'2026-07-04'!J3:J96))</f>
        <v/>
      </c>
      <c r="G97" s="0">
        <f>ROUND(F97/1.11,0)</f>
        <v/>
      </c>
    </row>
    <row r="98" spans="1:7">
      <c r="A98" s="0" t="inlineStr">
        <is>
          <t>INDOSARI FOOD SOLUTIONS</t>
        </is>
      </c>
      <c r="B98" s="0" t="inlineStr">
        <is>
          <t>RESTAURANT</t>
        </is>
      </c>
      <c r="C98" s="0" t="inlineStr">
        <is>
          <t>LOUNGE(IFS)</t>
        </is>
      </c>
      <c r="D98" s="0">
        <f>(SUMIF('2026-07-04'!F3:F96,'Rekap by Type'!C98,'2026-07-04'!L3:L96))</f>
        <v/>
      </c>
      <c r="E98" s="0">
        <f>(SUMIF('2026-07-04'!F3:F96,'Rekap by Type'!C98,'2026-07-04'!I3:I96))</f>
        <v/>
      </c>
      <c r="F98" s="0">
        <f>(SUMIF('2026-07-04'!F3:F96,'Rekap by Type'!C98,'2026-07-04'!J3:J96))</f>
        <v/>
      </c>
      <c r="G98" s="0">
        <f>ROUND(F98/1.11,0)</f>
        <v/>
      </c>
    </row>
    <row r="99" spans="1:7">
      <c r="A99" s="0" t="inlineStr">
        <is>
          <t>INDOSARI FOOD SOLUTIONS</t>
        </is>
      </c>
      <c r="B99" s="0" t="inlineStr">
        <is>
          <t>RESTAURANT</t>
        </is>
      </c>
      <c r="C99" s="0" t="inlineStr">
        <is>
          <t>RESTAURANT CHINESE/ORIENTAL(IFS)</t>
        </is>
      </c>
      <c r="D99" s="0">
        <f>(SUMIF('2026-07-04'!F3:F96,'Rekap by Type'!C99,'2026-07-04'!L3:L96))</f>
        <v/>
      </c>
      <c r="E99" s="0">
        <f>(SUMIF('2026-07-04'!F3:F96,'Rekap by Type'!C99,'2026-07-04'!I3:I96))</f>
        <v/>
      </c>
      <c r="F99" s="0">
        <f>(SUMIF('2026-07-04'!F3:F96,'Rekap by Type'!C99,'2026-07-04'!J3:J96))</f>
        <v/>
      </c>
      <c r="G99" s="0">
        <f>ROUND(F99/1.11,0)</f>
        <v/>
      </c>
    </row>
    <row r="100" spans="1:7">
      <c r="A100" s="0" t="inlineStr">
        <is>
          <t>INDOSARI FOOD SOLUTIONS</t>
        </is>
      </c>
      <c r="B100" s="0" t="inlineStr">
        <is>
          <t>RESTAURANT</t>
        </is>
      </c>
      <c r="C100" s="0" t="inlineStr">
        <is>
          <t>RESTAURANT INDONESIAN/INDIAN(IFS)</t>
        </is>
      </c>
      <c r="D100" s="0">
        <f>(SUMIF('2026-07-04'!F3:F96,'Rekap by Type'!C100,'2026-07-04'!L3:L96))</f>
        <v/>
      </c>
      <c r="E100" s="0">
        <f>(SUMIF('2026-07-04'!F3:F96,'Rekap by Type'!C100,'2026-07-04'!I3:I96))</f>
        <v/>
      </c>
      <c r="F100" s="0">
        <f>(SUMIF('2026-07-04'!F3:F96,'Rekap by Type'!C100,'2026-07-04'!J3:J96))</f>
        <v/>
      </c>
      <c r="G100" s="0">
        <f>ROUND(F100/1.11,0)</f>
        <v/>
      </c>
    </row>
    <row r="101" spans="1:7">
      <c r="A101" s="0" t="inlineStr">
        <is>
          <t>INDOSARI FOOD SOLUTIONS</t>
        </is>
      </c>
      <c r="B101" s="0" t="inlineStr">
        <is>
          <t>RESTAURANT</t>
        </is>
      </c>
      <c r="C101" s="0" t="inlineStr">
        <is>
          <t>RESTAURANT JAPANESE/KOREAN(IFS)</t>
        </is>
      </c>
      <c r="D101" s="0">
        <f>(SUMIF('2026-07-04'!F3:F96,'Rekap by Type'!C101,'2026-07-04'!L3:L96))</f>
        <v/>
      </c>
      <c r="E101" s="0">
        <f>(SUMIF('2026-07-04'!F3:F96,'Rekap by Type'!C101,'2026-07-04'!I3:I96))</f>
        <v/>
      </c>
      <c r="F101" s="0">
        <f>(SUMIF('2026-07-04'!F3:F96,'Rekap by Type'!C101,'2026-07-04'!J3:J96))</f>
        <v/>
      </c>
      <c r="G101" s="0">
        <f>ROUND(F101/1.11,0)</f>
        <v/>
      </c>
    </row>
    <row r="102" spans="1:7">
      <c r="A102" s="0" t="inlineStr">
        <is>
          <t>INDOSARI FOOD SOLUTIONS</t>
        </is>
      </c>
      <c r="B102" s="0" t="inlineStr">
        <is>
          <t>RESTAURANT</t>
        </is>
      </c>
      <c r="C102" s="0" t="inlineStr">
        <is>
          <t>RESTAURANT WESTERN/EUROPEAN(IFS)</t>
        </is>
      </c>
      <c r="D102" s="0">
        <f>(SUMIF('2026-07-04'!F3:F96,'Rekap by Type'!C102,'2026-07-04'!L3:L96))</f>
        <v/>
      </c>
      <c r="E102" s="0">
        <f>(SUMIF('2026-07-04'!F3:F96,'Rekap by Type'!C102,'2026-07-04'!I3:I96))</f>
        <v/>
      </c>
      <c r="F102" s="0">
        <f>(SUMIF('2026-07-04'!F3:F96,'Rekap by Type'!C102,'2026-07-04'!J3:J96))</f>
        <v/>
      </c>
      <c r="G102" s="0">
        <f>ROUND(F102/1.11,0)</f>
        <v/>
      </c>
    </row>
    <row r="103" spans="1:7">
      <c r="A103" s="0" t="inlineStr">
        <is>
          <t>INDOSARI FOOD SOLUTIONS</t>
        </is>
      </c>
      <c r="B103" s="0" t="inlineStr">
        <is>
          <t>RESTAURANT</t>
        </is>
      </c>
      <c r="C103" s="0" t="inlineStr">
        <is>
          <t>SPORT CLUB(IFS)</t>
        </is>
      </c>
      <c r="D103" s="0">
        <f>(SUMIF('2026-07-04'!F3:F96,'Rekap by Type'!C103,'2026-07-04'!L3:L96))</f>
        <v/>
      </c>
      <c r="E103" s="0">
        <f>(SUMIF('2026-07-04'!F3:F96,'Rekap by Type'!C103,'2026-07-04'!I3:I96))</f>
        <v/>
      </c>
      <c r="F103" s="0">
        <f>(SUMIF('2026-07-04'!F3:F96,'Rekap by Type'!C103,'2026-07-04'!J3:J96))</f>
        <v/>
      </c>
      <c r="G103" s="0">
        <f>ROUND(F103/1.11,0)</f>
        <v/>
      </c>
    </row>
    <row r="104" spans="1:7">
      <c r="A104" s="0" t="inlineStr">
        <is>
          <t>INDOSARI FOOD SOLUTIONS</t>
        </is>
      </c>
      <c r="B104" s="0" t="inlineStr">
        <is>
          <t>RESTAURANT</t>
        </is>
      </c>
      <c r="C104" s="0" t="inlineStr">
        <is>
          <t>THEME PARK (FOOD)(IFS)</t>
        </is>
      </c>
      <c r="D104" s="0">
        <f>(SUMIF('2026-07-04'!F3:F96,'Rekap by Type'!C104,'2026-07-04'!L3:L96))</f>
        <v/>
      </c>
      <c r="E104" s="0">
        <f>(SUMIF('2026-07-04'!F3:F96,'Rekap by Type'!C104,'2026-07-04'!I3:I96))</f>
        <v/>
      </c>
      <c r="F104" s="0">
        <f>(SUMIF('2026-07-04'!F3:F96,'Rekap by Type'!C104,'2026-07-04'!J3:J96))</f>
        <v/>
      </c>
      <c r="G104" s="0">
        <f>ROUND(F104/1.11,0)</f>
        <v/>
      </c>
    </row>
    <row r="105" spans="1:7">
      <c r="A105" s="0" t="inlineStr">
        <is>
          <t>INDOSARI FOOD SOLUTIONS</t>
        </is>
      </c>
      <c r="B105" s="0" t="inlineStr">
        <is>
          <t>RESTAURANT</t>
        </is>
      </c>
      <c r="C105" s="0" t="inlineStr">
        <is>
          <t>RESTAURANT MODERN TRADE (MT)(IFS)</t>
        </is>
      </c>
      <c r="D105" s="0">
        <f>(SUMIF('2026-07-04'!F3:F96,'Rekap by Type'!C105,'2026-07-04'!L3:L96))</f>
        <v/>
      </c>
      <c r="E105" s="0">
        <f>(SUMIF('2026-07-04'!F3:F96,'Rekap by Type'!C105,'2026-07-04'!I3:I96))</f>
        <v/>
      </c>
      <c r="F105" s="0">
        <f>(SUMIF('2026-07-04'!F3:F96,'Rekap by Type'!C105,'2026-07-04'!J3:J96))</f>
        <v/>
      </c>
      <c r="G105" s="0">
        <f>ROUND(F105/1.11,0)</f>
        <v/>
      </c>
    </row>
    <row r="106" spans="1:7">
      <c r="A106" s="0" t="inlineStr">
        <is>
          <t>INDOSARI FOOD SOLUTIONS</t>
        </is>
      </c>
      <c r="B106" s="0" t="inlineStr">
        <is>
          <t>CLOUD KITCHEN</t>
        </is>
      </c>
      <c r="C106" s="0" t="inlineStr">
        <is>
          <t>INKUBATOR (POP-UP KITCHEN)(IFS)</t>
        </is>
      </c>
      <c r="D106" s="0">
        <f>(SUMIF('2026-07-04'!F3:F96,'Rekap by Type'!C106,'2026-07-04'!L3:L96))</f>
        <v/>
      </c>
      <c r="E106" s="0">
        <f>(SUMIF('2026-07-04'!F3:F96,'Rekap by Type'!C106,'2026-07-04'!I3:I96))</f>
        <v/>
      </c>
      <c r="F106" s="0">
        <f>(SUMIF('2026-07-04'!F3:F96,'Rekap by Type'!C106,'2026-07-04'!J3:J96))</f>
        <v/>
      </c>
      <c r="G106" s="0">
        <f>ROUND(F106/1.11,0)</f>
        <v/>
      </c>
    </row>
    <row r="107" spans="1:7">
      <c r="A107" s="0" t="inlineStr">
        <is>
          <t>INDOSARI FOOD SOLUTIONS</t>
        </is>
      </c>
      <c r="B107" s="0" t="inlineStr">
        <is>
          <t>MITRA</t>
        </is>
      </c>
      <c r="C107" s="0" t="inlineStr">
        <is>
          <t>RESELLER HORECA(IFS)</t>
        </is>
      </c>
      <c r="D107" s="0">
        <f>(SUMIF('2026-07-04'!F3:F96,'Rekap by Type'!C107,'2026-07-04'!L3:L96))</f>
        <v/>
      </c>
      <c r="E107" s="0">
        <f>(SUMIF('2026-07-04'!F3:F96,'Rekap by Type'!C107,'2026-07-04'!I3:I96))</f>
        <v/>
      </c>
      <c r="F107" s="0">
        <f>(SUMIF('2026-07-04'!F3:F96,'Rekap by Type'!C107,'2026-07-04'!J3:J96))</f>
        <v/>
      </c>
      <c r="G107" s="0">
        <f>ROUND(F107/1.11,0)</f>
        <v/>
      </c>
    </row>
    <row r="108" spans="1:7">
      <c r="A108" s="0" t="inlineStr">
        <is>
          <t>INDOSARI FOOD SOLUTIONS</t>
        </is>
      </c>
      <c r="B108" s="0" t="inlineStr">
        <is>
          <t>MITRA</t>
        </is>
      </c>
      <c r="C108" s="0" t="inlineStr">
        <is>
          <t>DISTRIBUTOR HORECA(IFS)</t>
        </is>
      </c>
      <c r="D108" s="0">
        <f>(SUMIF('2026-07-04'!F3:F96,'Rekap by Type'!C108,'2026-07-04'!L3:L96))</f>
        <v/>
      </c>
      <c r="E108" s="0">
        <f>(SUMIF('2026-07-04'!F3:F96,'Rekap by Type'!C108,'2026-07-04'!I3:I96))</f>
        <v/>
      </c>
      <c r="F108" s="0">
        <f>(SUMIF('2026-07-04'!F3:F96,'Rekap by Type'!C108,'2026-07-04'!J3:J96))</f>
        <v/>
      </c>
      <c r="G108" s="0">
        <f>ROUND(F108/1.11,0)</f>
        <v/>
      </c>
    </row>
    <row r="109" spans="1:7">
      <c r="A109" s="0" t="inlineStr">
        <is>
          <t>INDOSARI FOOD SOLUTIONS</t>
        </is>
      </c>
      <c r="B109" s="0" t="inlineStr">
        <is>
          <t>MITRA</t>
        </is>
      </c>
      <c r="C109" s="0" t="inlineStr">
        <is>
          <t>TOKO BAHAN KUE(IFS)</t>
        </is>
      </c>
      <c r="D109" s="0">
        <f>(SUMIF('2026-07-04'!F3:F96,'Rekap by Type'!C109,'2026-07-04'!L3:L96))</f>
        <v/>
      </c>
      <c r="E109" s="0">
        <f>(SUMIF('2026-07-04'!F3:F96,'Rekap by Type'!C109,'2026-07-04'!I3:I96))</f>
        <v/>
      </c>
      <c r="F109" s="0">
        <f>(SUMIF('2026-07-04'!F3:F96,'Rekap by Type'!C109,'2026-07-04'!J3:J96))</f>
        <v/>
      </c>
      <c r="G109" s="0">
        <f>ROUND(F109/1.11,0)</f>
        <v/>
      </c>
    </row>
    <row r="110" spans="1:7">
      <c r="A110" s="0" t="inlineStr">
        <is>
          <t>INDOSARI FOOD SOLUTIONS</t>
        </is>
      </c>
      <c r="B110" s="0" t="inlineStr">
        <is>
          <t>MITRA</t>
        </is>
      </c>
      <c r="C110" s="0" t="inlineStr">
        <is>
          <t>FROZEN FOOD OUTLETS(IFS)</t>
        </is>
      </c>
      <c r="D110" s="0">
        <f>(SUMIF('2026-07-04'!F3:F96,'Rekap by Type'!C110,'2026-07-04'!L3:L96))</f>
        <v/>
      </c>
      <c r="E110" s="0">
        <f>(SUMIF('2026-07-04'!F3:F96,'Rekap by Type'!C110,'2026-07-04'!I3:I96))</f>
        <v/>
      </c>
      <c r="F110" s="0">
        <f>(SUMIF('2026-07-04'!F3:F96,'Rekap by Type'!C110,'2026-07-04'!J3:J96))</f>
        <v/>
      </c>
      <c r="G110" s="0">
        <f>ROUND(F110/1.11,0)</f>
        <v/>
      </c>
    </row>
    <row r="111" spans="1:7">
      <c r="A111" s="0" t="inlineStr">
        <is>
          <t>MTI</t>
        </is>
      </c>
      <c r="B111" s="0" t="inlineStr">
        <is>
          <t>MTI-PKP</t>
        </is>
      </c>
      <c r="C111" s="0" t="inlineStr">
        <is>
          <t>MTI RE/NOO (PKP)</t>
        </is>
      </c>
      <c r="D111" s="0">
        <f>(SUMIF('2026-07-04'!F3:F96,'Rekap by Type'!C111,'2026-07-04'!L3:L96))</f>
        <v/>
      </c>
      <c r="E111" s="0">
        <f>(SUMIF('2026-07-04'!F3:F96,'Rekap by Type'!C111,'2026-07-04'!I3:I96))</f>
        <v/>
      </c>
      <c r="F111" s="0">
        <f>(SUMIF('2026-07-04'!F3:F96,'Rekap by Type'!C111,'2026-07-04'!J3:J96))</f>
        <v/>
      </c>
      <c r="G111" s="0">
        <f>ROUND(F111/1.11,0)</f>
        <v/>
      </c>
    </row>
    <row r="112" spans="1:7">
      <c r="A112" s="0" t="inlineStr">
        <is>
          <t>MTI</t>
        </is>
      </c>
      <c r="B112" s="0" t="inlineStr">
        <is>
          <t>MTI</t>
        </is>
      </c>
      <c r="C112" s="0" t="inlineStr">
        <is>
          <t>MTI - C</t>
        </is>
      </c>
      <c r="D112" s="0">
        <f>(SUMIF('2026-07-04'!F3:F96,'Rekap by Type'!C112,'2026-07-04'!L3:L96))</f>
        <v/>
      </c>
      <c r="E112" s="0">
        <f>(SUMIF('2026-07-04'!F3:F96,'Rekap by Type'!C112,'2026-07-04'!I3:I96))</f>
        <v/>
      </c>
      <c r="F112" s="0">
        <f>(SUMIF('2026-07-04'!F3:F96,'Rekap by Type'!C112,'2026-07-04'!J3:J96))</f>
        <v/>
      </c>
      <c r="G112" s="0">
        <f>ROUND(F112/1.11,0)</f>
        <v/>
      </c>
    </row>
    <row r="113" spans="1:7">
      <c r="A113" s="0" t="inlineStr">
        <is>
          <t>WARUNG</t>
        </is>
      </c>
      <c r="B113" s="0" t="inlineStr">
        <is>
          <t>SMALL WARUNG</t>
        </is>
      </c>
      <c r="C113" s="0" t="inlineStr">
        <is>
          <t>WARUNG - C</t>
        </is>
      </c>
      <c r="D113" s="0">
        <f>(SUMIF('2026-07-04'!F3:F96,'Rekap by Type'!C113,'2026-07-04'!L3:L96))</f>
        <v/>
      </c>
      <c r="E113" s="0">
        <f>(SUMIF('2026-07-04'!F3:F96,'Rekap by Type'!C113,'2026-07-04'!I3:I96))</f>
        <v/>
      </c>
      <c r="F113" s="0">
        <f>(SUMIF('2026-07-04'!F3:F96,'Rekap by Type'!C113,'2026-07-04'!J3:J96))</f>
        <v/>
      </c>
      <c r="G113" s="0">
        <f>ROUND(F113/1.11,0)</f>
        <v/>
      </c>
    </row>
    <row r="114" spans="1:7">
      <c r="A114" s="0" t="inlineStr">
        <is>
          <t>SEKOLAH</t>
        </is>
      </c>
      <c r="B114" s="0" t="inlineStr">
        <is>
          <t>SEKOLAH</t>
        </is>
      </c>
      <c r="C114" s="0" t="inlineStr">
        <is>
          <t>BOARDING SCHOOL</t>
        </is>
      </c>
      <c r="D114" s="0">
        <f>(SUMIF('2026-07-04'!F3:F96,'Rekap by Type'!C114,'2026-07-04'!L3:L96))</f>
        <v/>
      </c>
      <c r="E114" s="0">
        <f>(SUMIF('2026-07-04'!F3:F96,'Rekap by Type'!C114,'2026-07-04'!I3:I96))</f>
        <v/>
      </c>
      <c r="F114" s="0">
        <f>(SUMIF('2026-07-04'!F3:F96,'Rekap by Type'!C114,'2026-07-04'!J3:J96))</f>
        <v/>
      </c>
      <c r="G114" s="0">
        <f>ROUND(F114/1.11,0)</f>
        <v/>
      </c>
    </row>
    <row r="115" spans="1:7">
      <c r="A115" s="0" t="inlineStr">
        <is>
          <t>SEKOLAH</t>
        </is>
      </c>
      <c r="B115" s="0" t="inlineStr">
        <is>
          <t>SEKOLAH</t>
        </is>
      </c>
      <c r="C115" s="0" t="inlineStr">
        <is>
          <t>PRIMARY SCHOOL</t>
        </is>
      </c>
      <c r="D115" s="0">
        <f>(SUMIF('2026-07-04'!F3:F96,'Rekap by Type'!C115,'2026-07-04'!L3:L96))</f>
        <v/>
      </c>
      <c r="E115" s="0">
        <f>(SUMIF('2026-07-04'!F3:F96,'Rekap by Type'!C115,'2026-07-04'!I3:I96))</f>
        <v/>
      </c>
      <c r="F115" s="0">
        <f>(SUMIF('2026-07-04'!F3:F96,'Rekap by Type'!C115,'2026-07-04'!J3:J96))</f>
        <v/>
      </c>
      <c r="G115" s="0">
        <f>ROUND(F115/1.11,0)</f>
        <v/>
      </c>
    </row>
    <row r="116" spans="1:7">
      <c r="A116" s="0" t="inlineStr">
        <is>
          <t>SEKOLAH</t>
        </is>
      </c>
      <c r="B116" s="0" t="inlineStr">
        <is>
          <t>SURROUNDED</t>
        </is>
      </c>
      <c r="C116" s="0" t="inlineStr">
        <is>
          <t>WARUNG-SURROUNDED</t>
        </is>
      </c>
      <c r="D116" s="0">
        <f>(SUMIF('2026-07-04'!F3:F96,'Rekap by Type'!C116,'2026-07-04'!L3:L96))</f>
        <v/>
      </c>
      <c r="E116" s="0">
        <f>(SUMIF('2026-07-04'!F3:F96,'Rekap by Type'!C116,'2026-07-04'!I3:I96))</f>
        <v/>
      </c>
      <c r="F116" s="0">
        <f>(SUMIF('2026-07-04'!F3:F96,'Rekap by Type'!C116,'2026-07-04'!J3:J96))</f>
        <v/>
      </c>
      <c r="G116" s="0">
        <f>ROUND(F116/1.11,0)</f>
        <v/>
      </c>
    </row>
    <row r="117" spans="1:7">
      <c r="A117" s="0" t="inlineStr">
        <is>
          <t>SEKOLAH</t>
        </is>
      </c>
      <c r="B117" s="0" t="inlineStr">
        <is>
          <t>SURROUNDED</t>
        </is>
      </c>
      <c r="C117" s="0" t="inlineStr">
        <is>
          <t>MTI-SURROUNDED</t>
        </is>
      </c>
      <c r="D117" s="0">
        <f>(SUMIF('2026-07-04'!F3:F96,'Rekap by Type'!C117,'2026-07-04'!L3:L96))</f>
        <v/>
      </c>
      <c r="E117" s="0">
        <f>(SUMIF('2026-07-04'!F3:F96,'Rekap by Type'!C117,'2026-07-04'!I3:I96))</f>
        <v/>
      </c>
      <c r="F117" s="0">
        <f>(SUMIF('2026-07-04'!F3:F96,'Rekap by Type'!C117,'2026-07-04'!J3:J96))</f>
        <v/>
      </c>
      <c r="G117" s="0">
        <f>ROUND(F117/1.11,0)</f>
        <v/>
      </c>
    </row>
    <row r="118" spans="1:7">
      <c r="A118" s="0" t="inlineStr">
        <is>
          <t>SEKOLAH</t>
        </is>
      </c>
      <c r="B118" s="0" t="inlineStr">
        <is>
          <t>SEKOLAH</t>
        </is>
      </c>
      <c r="C118" s="0" t="inlineStr">
        <is>
          <t>ELEMENTARY SCHOOL (TK/SD)</t>
        </is>
      </c>
      <c r="D118" s="0">
        <f>(SUMIF('2026-07-04'!F3:F96,'Rekap by Type'!C118,'2026-07-04'!L3:L96))</f>
        <v/>
      </c>
      <c r="E118" s="0">
        <f>(SUMIF('2026-07-04'!F3:F96,'Rekap by Type'!C118,'2026-07-04'!I3:I96))</f>
        <v/>
      </c>
      <c r="F118" s="0">
        <f>(SUMIF('2026-07-04'!F3:F96,'Rekap by Type'!C118,'2026-07-04'!J3:J96))</f>
        <v/>
      </c>
      <c r="G118" s="0">
        <f>ROUND(F118/1.11,0)</f>
        <v/>
      </c>
    </row>
    <row r="119" spans="1:7">
      <c r="A119" s="0" t="inlineStr">
        <is>
          <t>SEKOLAH</t>
        </is>
      </c>
      <c r="B119" s="0" t="inlineStr">
        <is>
          <t>SEKOLAH</t>
        </is>
      </c>
      <c r="C119" s="0" t="inlineStr">
        <is>
          <t>JUNIOR SCHOOL (SMP)</t>
        </is>
      </c>
      <c r="D119" s="0">
        <f>(SUMIF('2026-07-04'!F3:F96,'Rekap by Type'!C119,'2026-07-04'!L3:L96))</f>
        <v/>
      </c>
      <c r="E119" s="0">
        <f>(SUMIF('2026-07-04'!F3:F96,'Rekap by Type'!C119,'2026-07-04'!I3:I96))</f>
        <v/>
      </c>
      <c r="F119" s="0">
        <f>(SUMIF('2026-07-04'!F3:F96,'Rekap by Type'!C119,'2026-07-04'!J3:J96))</f>
        <v/>
      </c>
      <c r="G119" s="0">
        <f>ROUND(F119/1.11,0)</f>
        <v/>
      </c>
    </row>
    <row r="120" spans="1:7">
      <c r="A120" s="0" t="inlineStr">
        <is>
          <t>SEKOLAH</t>
        </is>
      </c>
      <c r="B120" s="0" t="inlineStr">
        <is>
          <t>SEKOLAH</t>
        </is>
      </c>
      <c r="C120" s="0" t="inlineStr">
        <is>
          <t>SENIOR SCHOOL (SMA/K)</t>
        </is>
      </c>
      <c r="D120" s="0">
        <f>(SUMIF('2026-07-04'!F3:F96,'Rekap by Type'!C120,'2026-07-04'!L3:L96))</f>
        <v/>
      </c>
      <c r="E120" s="0">
        <f>(SUMIF('2026-07-04'!F3:F96,'Rekap by Type'!C120,'2026-07-04'!I3:I96))</f>
        <v/>
      </c>
      <c r="F120" s="0">
        <f>(SUMIF('2026-07-04'!F3:F96,'Rekap by Type'!C120,'2026-07-04'!J3:J96))</f>
        <v/>
      </c>
      <c r="G120" s="0">
        <f>ROUND(F120/1.11,0)</f>
        <v/>
      </c>
    </row>
    <row r="121" spans="1:7">
      <c r="A121" s="0" t="inlineStr">
        <is>
          <t>LSL Store</t>
        </is>
      </c>
      <c r="B121" s="0" t="inlineStr">
        <is>
          <t>Star Outlet</t>
        </is>
      </c>
      <c r="C121" s="0" t="inlineStr">
        <is>
          <t>Mitra Distributor (ICP)</t>
        </is>
      </c>
      <c r="D121" s="0">
        <f>(SUMIF('2026-07-04'!F3:F96,'Rekap by Type'!C121,'2026-07-04'!L3:L96))</f>
        <v/>
      </c>
      <c r="E121" s="0">
        <f>(SUMIF('2026-07-04'!F3:F96,'Rekap by Type'!C121,'2026-07-04'!I3:I96))</f>
        <v/>
      </c>
      <c r="F121" s="0">
        <f>(SUMIF('2026-07-04'!F3:F96,'Rekap by Type'!C121,'2026-07-04'!J3:J96))</f>
        <v/>
      </c>
      <c r="G121" s="0">
        <f>ROUND(F121/1.11,0)</f>
        <v/>
      </c>
    </row>
    <row r="122" spans="1:7">
      <c r="A122" s="0" t="inlineStr">
        <is>
          <t>LSL Store</t>
        </is>
      </c>
      <c r="B122" s="0" t="inlineStr">
        <is>
          <t>Wholesaler</t>
        </is>
      </c>
      <c r="C122" s="0" t="inlineStr">
        <is>
          <t>Semi Grosir (ICP)</t>
        </is>
      </c>
      <c r="D122" s="0">
        <f>(SUMIF('2026-07-04'!F3:F96,'Rekap by Type'!C122,'2026-07-04'!L3:L96))</f>
        <v/>
      </c>
      <c r="E122" s="0">
        <f>(SUMIF('2026-07-04'!F3:F96,'Rekap by Type'!C122,'2026-07-04'!I3:I96))</f>
        <v/>
      </c>
      <c r="F122" s="0">
        <f>(SUMIF('2026-07-04'!F3:F96,'Rekap by Type'!C122,'2026-07-04'!J3:J96))</f>
        <v/>
      </c>
      <c r="G122" s="0">
        <f>ROUND(F122/1.11,0)</f>
        <v/>
      </c>
    </row>
    <row r="123" spans="1:7">
      <c r="A123" s="0" t="inlineStr">
        <is>
          <t>LSL Store</t>
        </is>
      </c>
      <c r="B123" s="0" t="inlineStr">
        <is>
          <t>Wholesaler</t>
        </is>
      </c>
      <c r="C123" s="0" t="inlineStr">
        <is>
          <t>Big Grosir (ICP)</t>
        </is>
      </c>
      <c r="D123" s="0">
        <f>(SUMIF('2026-07-04'!F3:F96,'Rekap by Type'!C123,'2026-07-04'!L3:L96))</f>
        <v/>
      </c>
      <c r="E123" s="0">
        <f>(SUMIF('2026-07-04'!F3:F96,'Rekap by Type'!C123,'2026-07-04'!I3:I96))</f>
        <v/>
      </c>
      <c r="F123" s="0">
        <f>(SUMIF('2026-07-04'!F3:F96,'Rekap by Type'!C123,'2026-07-04'!J3:J96))</f>
        <v/>
      </c>
      <c r="G123" s="0">
        <f>ROUND(F123/1.11,0)</f>
        <v/>
      </c>
    </row>
    <row r="124" spans="1:7">
      <c r="A124" s="0" t="inlineStr">
        <is>
          <t>LSL Store</t>
        </is>
      </c>
      <c r="B124" s="0" t="inlineStr">
        <is>
          <t>C &amp; C</t>
        </is>
      </c>
      <c r="C124" s="0" t="inlineStr">
        <is>
          <t>Indogrosir (ICP)</t>
        </is>
      </c>
      <c r="D124" s="0">
        <f>(SUMIF('2026-07-04'!F3:F96,'Rekap by Type'!C124,'2026-07-04'!L3:L96))</f>
        <v/>
      </c>
      <c r="E124" s="0">
        <f>(SUMIF('2026-07-04'!F3:F96,'Rekap by Type'!C124,'2026-07-04'!I3:I96))</f>
        <v/>
      </c>
      <c r="F124" s="0">
        <f>(SUMIF('2026-07-04'!F3:F96,'Rekap by Type'!C124,'2026-07-04'!J3:J96))</f>
        <v/>
      </c>
      <c r="G124" s="0">
        <f>ROUND(F124/1.11,0)</f>
        <v/>
      </c>
    </row>
    <row r="125" spans="1:7">
      <c r="A125" s="0" t="inlineStr">
        <is>
          <t>LSL Store</t>
        </is>
      </c>
      <c r="B125" s="0" t="inlineStr">
        <is>
          <t>C &amp; C</t>
        </is>
      </c>
      <c r="C125" s="0" t="inlineStr">
        <is>
          <t>Lotte Grosir (ICP)</t>
        </is>
      </c>
      <c r="D125" s="0">
        <f>(SUMIF('2026-07-04'!F3:F96,'Rekap by Type'!C125,'2026-07-04'!L3:L96))</f>
        <v/>
      </c>
      <c r="E125" s="0">
        <f>(SUMIF('2026-07-04'!F3:F96,'Rekap by Type'!C125,'2026-07-04'!I3:I96))</f>
        <v/>
      </c>
      <c r="F125" s="0">
        <f>(SUMIF('2026-07-04'!F3:F96,'Rekap by Type'!C125,'2026-07-04'!J3:J96))</f>
        <v/>
      </c>
      <c r="G125" s="0">
        <f>ROUND(F125/1.11,0)</f>
        <v/>
      </c>
    </row>
    <row r="126" spans="1:7">
      <c r="A126" s="0" t="inlineStr">
        <is>
          <t>LSL Store</t>
        </is>
      </c>
      <c r="B126" s="0" t="inlineStr">
        <is>
          <t>C &amp; C</t>
        </is>
      </c>
      <c r="C126" s="0" t="inlineStr">
        <is>
          <t>Others (ICP)</t>
        </is>
      </c>
      <c r="D126" s="0">
        <f>(SUMIF('2026-07-04'!F3:F96,'Rekap by Type'!C126,'2026-07-04'!L3:L96))</f>
        <v/>
      </c>
      <c r="E126" s="0">
        <f>(SUMIF('2026-07-04'!F3:F96,'Rekap by Type'!C126,'2026-07-04'!I3:I96))</f>
        <v/>
      </c>
      <c r="F126" s="0">
        <f>(SUMIF('2026-07-04'!F3:F96,'Rekap by Type'!C126,'2026-07-04'!J3:J96))</f>
        <v/>
      </c>
      <c r="G126" s="0">
        <f>ROUND(F126/1.11,0)</f>
        <v/>
      </c>
    </row>
    <row r="127" spans="1:7">
      <c r="A127" s="0" t="inlineStr">
        <is>
          <t>LSL Store</t>
        </is>
      </c>
      <c r="B127" s="0" t="inlineStr">
        <is>
          <t>DN - AR (ICP)</t>
        </is>
      </c>
      <c r="C127" s="0" t="inlineStr">
        <is>
          <t>Debit Note (ICP)</t>
        </is>
      </c>
      <c r="D127" s="0">
        <f>(SUMIF('2026-07-04'!F3:F96,'Rekap by Type'!C127,'2026-07-04'!L3:L96))</f>
        <v/>
      </c>
      <c r="E127" s="0">
        <f>(SUMIF('2026-07-04'!F3:F96,'Rekap by Type'!C127,'2026-07-04'!I3:I96))</f>
        <v/>
      </c>
      <c r="F127" s="0">
        <f>(SUMIF('2026-07-04'!F3:F96,'Rekap by Type'!C127,'2026-07-04'!J3:J96))</f>
        <v/>
      </c>
      <c r="G127" s="0">
        <f>ROUND(F127/1.11,0)</f>
        <v/>
      </c>
    </row>
    <row r="128" spans="1:7">
      <c r="A128" s="0" t="inlineStr">
        <is>
          <t>e-Trade</t>
        </is>
      </c>
      <c r="B128" s="0" t="inlineStr">
        <is>
          <t>E-COMMERCE</t>
        </is>
      </c>
      <c r="C128" s="0" t="inlineStr">
        <is>
          <t>ASTRO</t>
        </is>
      </c>
      <c r="D128" s="0">
        <f>(SUMIF('2026-07-04'!F3:F96,'Rekap by Type'!C128,'2026-07-04'!L3:L96))</f>
        <v/>
      </c>
      <c r="E128" s="0">
        <f>(SUMIF('2026-07-04'!F3:F96,'Rekap by Type'!C128,'2026-07-04'!I3:I96))</f>
        <v/>
      </c>
      <c r="F128" s="0">
        <f>(SUMIF('2026-07-04'!F3:F96,'Rekap by Type'!C128,'2026-07-04'!J3:J96))</f>
        <v/>
      </c>
      <c r="G128" s="0">
        <f>ROUND(F128/1.11,0)</f>
        <v/>
      </c>
    </row>
    <row r="129" spans="1:7">
      <c r="A129" s="0" t="inlineStr">
        <is>
          <t>DISTRIBUTION CENTER</t>
        </is>
      </c>
      <c r="B129" s="0" t="inlineStr">
        <is>
          <t>Distribution Centre</t>
        </is>
      </c>
      <c r="C129" s="0" t="inlineStr">
        <is>
          <t>Alfa Midi (DC)</t>
        </is>
      </c>
      <c r="D129" s="0">
        <f>(SUMIF('2026-07-04'!F3:F96,'Rekap by Type'!C129,'2026-07-04'!L3:L96))</f>
        <v/>
      </c>
      <c r="E129" s="0">
        <f>(SUMIF('2026-07-04'!F3:F96,'Rekap by Type'!C129,'2026-07-04'!I3:I96))</f>
        <v/>
      </c>
      <c r="F129" s="0">
        <f>(SUMIF('2026-07-04'!F3:F96,'Rekap by Type'!C129,'2026-07-04'!J3:J96))</f>
        <v/>
      </c>
      <c r="G129" s="0">
        <f>ROUND(F129/1.11,0)</f>
        <v/>
      </c>
    </row>
    <row r="130" spans="1:7">
      <c r="A130" s="0" t="inlineStr">
        <is>
          <t>DISTRIBUTION CENTER</t>
        </is>
      </c>
      <c r="B130" s="0" t="inlineStr">
        <is>
          <t>Distribution Centre</t>
        </is>
      </c>
      <c r="C130" s="0" t="inlineStr">
        <is>
          <t>Alfa Mart (DC)</t>
        </is>
      </c>
      <c r="D130" s="0">
        <f>(SUMIF('2026-07-04'!F3:F96,'Rekap by Type'!C130,'2026-07-04'!L3:L96))</f>
        <v/>
      </c>
      <c r="E130" s="0">
        <f>(SUMIF('2026-07-04'!F3:F96,'Rekap by Type'!C130,'2026-07-04'!I3:I96))</f>
        <v/>
      </c>
      <c r="F130" s="0">
        <f>(SUMIF('2026-07-04'!F3:F96,'Rekap by Type'!C130,'2026-07-04'!J3:J96))</f>
        <v/>
      </c>
      <c r="G130" s="0">
        <f>ROUND(F130/1.11,0)</f>
        <v/>
      </c>
    </row>
    <row r="131" spans="1:7">
      <c r="A131" s="0" t="inlineStr">
        <is>
          <t>WHOLESALE</t>
        </is>
      </c>
      <c r="B131" s="0" t="inlineStr">
        <is>
          <t>GROSIR</t>
        </is>
      </c>
      <c r="C131" s="0" t="inlineStr">
        <is>
          <t>SEMI GROSIR</t>
        </is>
      </c>
      <c r="D131" s="0">
        <f>(SUMIF('2026-07-04'!F3:F96,'Rekap by Type'!C131,'2026-07-04'!L3:L96))</f>
        <v/>
      </c>
      <c r="E131" s="0">
        <f>(SUMIF('2026-07-04'!F3:F96,'Rekap by Type'!C131,'2026-07-04'!I3:I96))</f>
        <v/>
      </c>
      <c r="F131" s="0">
        <f>(SUMIF('2026-07-04'!F3:F96,'Rekap by Type'!C131,'2026-07-04'!J3:J96))</f>
        <v/>
      </c>
      <c r="G131" s="0">
        <f>ROUND(F131/1.11,0)</f>
        <v/>
      </c>
    </row>
    <row r="132" spans="1:7">
      <c r="A132" s="0" t="inlineStr">
        <is>
          <t>WHOLESALE</t>
        </is>
      </c>
      <c r="B132" s="0" t="inlineStr">
        <is>
          <t>GROSIR</t>
        </is>
      </c>
      <c r="C132" s="0" t="inlineStr">
        <is>
          <t>GROSIR PASSIVE</t>
        </is>
      </c>
      <c r="D132" s="0">
        <f>(SUMIF('2026-07-04'!F3:F96,'Rekap by Type'!C132,'2026-07-04'!L3:L96))</f>
        <v/>
      </c>
      <c r="E132" s="0">
        <f>(SUMIF('2026-07-04'!F3:F96,'Rekap by Type'!C132,'2026-07-04'!I3:I96))</f>
        <v/>
      </c>
      <c r="F132" s="0">
        <f>(SUMIF('2026-07-04'!F3:F96,'Rekap by Type'!C132,'2026-07-04'!J3:J96))</f>
        <v/>
      </c>
      <c r="G132" s="0">
        <f>ROUND(F132/1.11,0)</f>
        <v/>
      </c>
    </row>
    <row r="133" spans="1:7">
      <c r="A133" s="0" t="inlineStr">
        <is>
          <t>WHOLESALE</t>
        </is>
      </c>
      <c r="B133" s="0" t="inlineStr">
        <is>
          <t>GROSIR</t>
        </is>
      </c>
      <c r="C133" s="0" t="inlineStr">
        <is>
          <t>GROSIR ACTIVE</t>
        </is>
      </c>
      <c r="D133" s="0">
        <f>(SUMIF('2026-07-04'!F3:F96,'Rekap by Type'!C133,'2026-07-04'!L3:L96))</f>
        <v/>
      </c>
      <c r="E133" s="0">
        <f>(SUMIF('2026-07-04'!F3:F96,'Rekap by Type'!C133,'2026-07-04'!I3:I96))</f>
        <v/>
      </c>
      <c r="F133" s="0">
        <f>(SUMIF('2026-07-04'!F3:F96,'Rekap by Type'!C133,'2026-07-04'!J3:J96))</f>
        <v/>
      </c>
      <c r="G133" s="0">
        <f>ROUND(F133/1.11,0)</f>
        <v/>
      </c>
    </row>
    <row r="134" spans="1:7">
      <c r="A134" s="0" t="inlineStr">
        <is>
          <t>WHOLESALE</t>
        </is>
      </c>
      <c r="B134" s="0" t="inlineStr">
        <is>
          <t>GROSIR</t>
        </is>
      </c>
      <c r="C134" s="0" t="inlineStr">
        <is>
          <t>STAR OUTLET</t>
        </is>
      </c>
      <c r="D134" s="0">
        <f>(SUMIF('2026-07-04'!F3:F96,'Rekap by Type'!C134,'2026-07-04'!L3:L96))</f>
        <v/>
      </c>
      <c r="E134" s="0">
        <f>(SUMIF('2026-07-04'!F3:F96,'Rekap by Type'!C134,'2026-07-04'!I3:I96))</f>
        <v/>
      </c>
      <c r="F134" s="0">
        <f>(SUMIF('2026-07-04'!F3:F96,'Rekap by Type'!C134,'2026-07-04'!J3:J96))</f>
        <v/>
      </c>
      <c r="G134" s="0">
        <f>ROUND(F134/1.11,0)</f>
        <v/>
      </c>
    </row>
    <row r="135" spans="1:7">
      <c r="A135" s="0" t="inlineStr">
        <is>
          <t>WHOLESALE</t>
        </is>
      </c>
      <c r="B135" s="0" t="inlineStr">
        <is>
          <t>GROSIR</t>
        </is>
      </c>
      <c r="C135" s="0" t="inlineStr">
        <is>
          <t>CASH &amp; CARRY</t>
        </is>
      </c>
      <c r="D135" s="0">
        <f>(SUMIF('2026-07-04'!F3:F96,'Rekap by Type'!C135,'2026-07-04'!L3:L96))</f>
        <v/>
      </c>
      <c r="E135" s="0">
        <f>(SUMIF('2026-07-04'!F3:F96,'Rekap by Type'!C135,'2026-07-04'!I3:I96))</f>
        <v/>
      </c>
      <c r="F135" s="0">
        <f>(SUMIF('2026-07-04'!F3:F96,'Rekap by Type'!C135,'2026-07-04'!J3:J96))</f>
        <v/>
      </c>
      <c r="G135" s="0">
        <f>ROUND(F135/1.11,0)</f>
        <v/>
      </c>
    </row>
    <row r="136" spans="1:7">
      <c r="A136" s="0" t="inlineStr">
        <is>
          <t>DISTRIBUTION CENTER</t>
        </is>
      </c>
      <c r="B136" s="0" t="inlineStr">
        <is>
          <t>DC RO UENAK</t>
        </is>
      </c>
      <c r="C136" s="0" t="inlineStr">
        <is>
          <t>MITRA DISTRIBUTOR UENAK</t>
        </is>
      </c>
      <c r="D136" s="0">
        <f>(SUMIF('2026-07-04'!F3:F96,'Rekap by Type'!C136,'2026-07-04'!L3:L96))</f>
        <v/>
      </c>
      <c r="E136" s="0">
        <f>(SUMIF('2026-07-04'!F3:F96,'Rekap by Type'!C136,'2026-07-04'!I3:I96))</f>
        <v/>
      </c>
      <c r="F136" s="0">
        <f>(SUMIF('2026-07-04'!F3:F96,'Rekap by Type'!C136,'2026-07-04'!J3:J96))</f>
        <v/>
      </c>
      <c r="G136" s="0">
        <f>ROUND(F136/1.11,0)</f>
        <v/>
      </c>
    </row>
    <row r="137" spans="1:7">
      <c r="A137" s="0" t="inlineStr">
        <is>
          <t>e-Trade</t>
        </is>
      </c>
      <c r="B137" s="0" t="inlineStr">
        <is>
          <t>E-COMMERCE</t>
        </is>
      </c>
      <c r="C137" s="0" t="inlineStr">
        <is>
          <t>SEGARI</t>
        </is>
      </c>
      <c r="D137" s="0">
        <f>(SUMIF('2026-07-04'!F3:F96,'Rekap by Type'!C137,'2026-07-04'!L3:L96))</f>
        <v/>
      </c>
      <c r="E137" s="0">
        <f>(SUMIF('2026-07-04'!F3:F96,'Rekap by Type'!C137,'2026-07-04'!I3:I96))</f>
        <v/>
      </c>
      <c r="F137" s="0">
        <f>(SUMIF('2026-07-04'!F3:F96,'Rekap by Type'!C137,'2026-07-04'!J3:J96))</f>
        <v/>
      </c>
      <c r="G137" s="0">
        <f>ROUND(F137/1.11,0)</f>
        <v/>
      </c>
    </row>
    <row r="138" spans="1:7">
      <c r="A138" s="0" t="inlineStr">
        <is>
          <t>SARI CHOCO BEVERAGE</t>
        </is>
      </c>
      <c r="B138" s="0" t="inlineStr">
        <is>
          <t>MODERN TRADE (MT)</t>
        </is>
      </c>
      <c r="C138" s="0" t="inlineStr">
        <is>
          <t>NKA</t>
        </is>
      </c>
      <c r="D138" s="0">
        <f>(SUMIF('2026-07-04'!F3:F96,'Rekap by Type'!C138,'2026-07-04'!L3:L96))</f>
        <v/>
      </c>
      <c r="E138" s="0">
        <f>(SUMIF('2026-07-04'!F3:F96,'Rekap by Type'!C138,'2026-07-04'!I3:I96))</f>
        <v/>
      </c>
      <c r="F138" s="0">
        <f>(SUMIF('2026-07-04'!F3:F96,'Rekap by Type'!C138,'2026-07-04'!J3:J96))</f>
        <v/>
      </c>
      <c r="G138" s="0">
        <f>ROUND(F138/1.11,0)</f>
        <v/>
      </c>
    </row>
    <row r="139" spans="1:7">
      <c r="A139" s="0" t="inlineStr">
        <is>
          <t>PRIVATE LABEL</t>
        </is>
      </c>
      <c r="B139" s="0" t="inlineStr">
        <is>
          <t>Sari Paste Sub-Dist</t>
        </is>
      </c>
      <c r="C139" s="0" t="inlineStr">
        <is>
          <t>Sari Choco Paste Mitra Distributor</t>
        </is>
      </c>
      <c r="D139" s="0">
        <f>(SUMIF('2026-07-04'!F3:F96,'Rekap by Type'!C139,'2026-07-04'!L3:L96))</f>
        <v/>
      </c>
      <c r="E139" s="0">
        <f>(SUMIF('2026-07-04'!F3:F96,'Rekap by Type'!C139,'2026-07-04'!I3:I96))</f>
        <v/>
      </c>
      <c r="F139" s="0">
        <f>(SUMIF('2026-07-04'!F3:F96,'Rekap by Type'!C139,'2026-07-04'!J3:J96))</f>
        <v/>
      </c>
      <c r="G139" s="0">
        <f>ROUND(F139/1.11,0)</f>
        <v/>
      </c>
    </row>
    <row r="140" spans="1:7">
      <c r="A140" s="0" t="inlineStr">
        <is>
          <t>COMMUNITY</t>
        </is>
      </c>
      <c r="B140" s="0" t="inlineStr">
        <is>
          <t>COMMUNITY BASED ON CUMMUNION</t>
        </is>
      </c>
      <c r="C140" s="0" t="inlineStr">
        <is>
          <t>KEWIRAUSAHAAN (KWU) EVENT 20</t>
        </is>
      </c>
      <c r="D140" s="0">
        <f>(SUMIF('2026-07-04'!F3:F96,'Rekap by Type'!C140,'2026-07-04'!L3:L96))</f>
        <v/>
      </c>
      <c r="E140" s="0">
        <f>(SUMIF('2026-07-04'!F3:F96,'Rekap by Type'!C140,'2026-07-04'!I3:I96))</f>
        <v/>
      </c>
      <c r="F140" s="0">
        <f>(SUMIF('2026-07-04'!F3:F96,'Rekap by Type'!C140,'2026-07-04'!J3:J96))</f>
        <v/>
      </c>
      <c r="G140" s="0">
        <f>ROUND(F140/1.11,0)</f>
        <v/>
      </c>
    </row>
    <row r="141" spans="1:7">
      <c r="A141" s="0" t="inlineStr">
        <is>
          <t>COMMUNITY</t>
        </is>
      </c>
      <c r="B141" s="0" t="inlineStr">
        <is>
          <t>COMMUNITY BASED ON CUMMUNION</t>
        </is>
      </c>
      <c r="C141" s="0" t="inlineStr">
        <is>
          <t>KEWIRAUSAHAAN (KWU) EVENT 25</t>
        </is>
      </c>
      <c r="D141" s="0">
        <f>(SUMIF('2026-07-04'!F3:F96,'Rekap by Type'!C141,'2026-07-04'!L3:L96))</f>
        <v/>
      </c>
      <c r="E141" s="0">
        <f>(SUMIF('2026-07-04'!F3:F96,'Rekap by Type'!C141,'2026-07-04'!I3:I96))</f>
        <v/>
      </c>
      <c r="F141" s="0">
        <f>(SUMIF('2026-07-04'!F3:F96,'Rekap by Type'!C141,'2026-07-04'!J3:J96))</f>
        <v/>
      </c>
      <c r="G141" s="0">
        <f>ROUND(F141/1.11,0)</f>
        <v/>
      </c>
    </row>
    <row r="142" spans="1:7">
      <c r="A142" s="0" t="inlineStr">
        <is>
          <t>DISTRIBUTION CENTER</t>
        </is>
      </c>
      <c r="B142" s="0" t="inlineStr">
        <is>
          <t>Distribution Centre</t>
        </is>
      </c>
      <c r="C142" s="0" t="inlineStr">
        <is>
          <t>INDOMARET (DC)</t>
        </is>
      </c>
      <c r="D142" s="0">
        <f>(SUMIF('2026-07-04'!F3:F96,'Rekap by Type'!C142,'2026-07-04'!L3:L96))</f>
        <v/>
      </c>
      <c r="E142" s="0">
        <f>(SUMIF('2026-07-04'!F3:F96,'Rekap by Type'!C142,'2026-07-04'!I3:I96))</f>
        <v/>
      </c>
      <c r="F142" s="0">
        <f>(SUMIF('2026-07-04'!F3:F96,'Rekap by Type'!C142,'2026-07-04'!J3:J96))</f>
        <v/>
      </c>
      <c r="G142" s="0">
        <f>ROUND(F142/1.11,0)</f>
        <v/>
      </c>
    </row>
    <row r="143" spans="1:7">
      <c r="A143" s="0" t="inlineStr">
        <is>
          <t>SUHY</t>
        </is>
      </c>
      <c r="B143" s="0" t="inlineStr">
        <is>
          <t>NKA</t>
        </is>
      </c>
      <c r="C143" s="0" t="inlineStr">
        <is>
          <t>ADA SWALAYAN</t>
        </is>
      </c>
      <c r="D143" s="0">
        <f>(SUMIF('2026-07-04'!F3:F96,'Rekap by Type'!C143,'2026-07-04'!L3:L96))</f>
        <v/>
      </c>
      <c r="E143" s="0">
        <f>(SUMIF('2026-07-04'!F3:F96,'Rekap by Type'!C143,'2026-07-04'!I3:I96))</f>
        <v/>
      </c>
      <c r="F143" s="0">
        <f>(SUMIF('2026-07-04'!F3:F96,'Rekap by Type'!C143,'2026-07-04'!J3:J96))</f>
        <v/>
      </c>
      <c r="G143" s="0">
        <f>ROUND(F143/1.11,0)</f>
        <v/>
      </c>
    </row>
    <row r="144" spans="1:7">
      <c r="A144" s="0" t="inlineStr">
        <is>
          <t>SUHY</t>
        </is>
      </c>
      <c r="B144" s="0" t="inlineStr">
        <is>
          <t>NKA</t>
        </is>
      </c>
      <c r="C144" s="0" t="inlineStr">
        <is>
          <t>AEON INDONESIA</t>
        </is>
      </c>
      <c r="D144" s="0">
        <f>(SUMIF('2026-07-04'!F3:F96,'Rekap by Type'!C144,'2026-07-04'!L3:L96))</f>
        <v/>
      </c>
      <c r="E144" s="0">
        <f>(SUMIF('2026-07-04'!F3:F96,'Rekap by Type'!C144,'2026-07-04'!I3:I96))</f>
        <v/>
      </c>
      <c r="F144" s="0">
        <f>(SUMIF('2026-07-04'!F3:F96,'Rekap by Type'!C144,'2026-07-04'!J3:J96))</f>
        <v/>
      </c>
      <c r="G144" s="0">
        <f>ROUND(F144/1.11,0)</f>
        <v/>
      </c>
    </row>
    <row r="145" spans="1:7">
      <c r="A145" s="0" t="inlineStr">
        <is>
          <t>SUHY</t>
        </is>
      </c>
      <c r="B145" s="0" t="inlineStr">
        <is>
          <t>NKA</t>
        </is>
      </c>
      <c r="C145" s="0" t="inlineStr">
        <is>
          <t>ALFA RETAIL</t>
        </is>
      </c>
      <c r="D145" s="0">
        <f>(SUMIF('2026-07-04'!F3:F96,'Rekap by Type'!C145,'2026-07-04'!L3:L96))</f>
        <v/>
      </c>
      <c r="E145" s="0">
        <f>(SUMIF('2026-07-04'!F3:F96,'Rekap by Type'!C145,'2026-07-04'!I3:I96))</f>
        <v/>
      </c>
      <c r="F145" s="0">
        <f>(SUMIF('2026-07-04'!F3:F96,'Rekap by Type'!C145,'2026-07-04'!J3:J96))</f>
        <v/>
      </c>
      <c r="G145" s="0">
        <f>ROUND(F145/1.11,0)</f>
        <v/>
      </c>
    </row>
    <row r="146" spans="1:7">
      <c r="A146" s="0" t="inlineStr">
        <is>
          <t>SUHY</t>
        </is>
      </c>
      <c r="B146" s="0" t="inlineStr">
        <is>
          <t>NKA</t>
        </is>
      </c>
      <c r="C146" s="0" t="inlineStr">
        <is>
          <t>DIAMOND</t>
        </is>
      </c>
      <c r="D146" s="0">
        <f>(SUMIF('2026-07-04'!F3:F96,'Rekap by Type'!C146,'2026-07-04'!L3:L96))</f>
        <v/>
      </c>
      <c r="E146" s="0">
        <f>(SUMIF('2026-07-04'!F3:F96,'Rekap by Type'!C146,'2026-07-04'!I3:I96))</f>
        <v/>
      </c>
      <c r="F146" s="0">
        <f>(SUMIF('2026-07-04'!F3:F96,'Rekap by Type'!C146,'2026-07-04'!J3:J96))</f>
        <v/>
      </c>
      <c r="G146" s="0">
        <f>ROUND(F146/1.11,0)</f>
        <v/>
      </c>
    </row>
    <row r="147" spans="1:7">
      <c r="A147" s="0" t="inlineStr">
        <is>
          <t>SUHY</t>
        </is>
      </c>
      <c r="B147" s="0" t="inlineStr">
        <is>
          <t>NKA</t>
        </is>
      </c>
      <c r="C147" s="0" t="inlineStr">
        <is>
          <t>SBL</t>
        </is>
      </c>
      <c r="D147" s="0">
        <f>(SUMIF('2026-07-04'!F3:F96,'Rekap by Type'!C147,'2026-07-04'!L3:L96))</f>
        <v/>
      </c>
      <c r="E147" s="0">
        <f>(SUMIF('2026-07-04'!F3:F96,'Rekap by Type'!C147,'2026-07-04'!I3:I96))</f>
        <v/>
      </c>
      <c r="F147" s="0">
        <f>(SUMIF('2026-07-04'!F3:F96,'Rekap by Type'!C147,'2026-07-04'!J3:J96))</f>
        <v/>
      </c>
      <c r="G147" s="0">
        <f>ROUND(F147/1.11,0)</f>
        <v/>
      </c>
    </row>
    <row r="148" spans="1:7">
      <c r="A148" s="0" t="inlineStr">
        <is>
          <t>SUHY</t>
        </is>
      </c>
      <c r="B148" s="0" t="inlineStr">
        <is>
          <t>NKA</t>
        </is>
      </c>
      <c r="C148" s="0" t="inlineStr">
        <is>
          <t>FOODHALL</t>
        </is>
      </c>
      <c r="D148" s="0">
        <f>(SUMIF('2026-07-04'!F3:F96,'Rekap by Type'!C148,'2026-07-04'!L3:L96))</f>
        <v/>
      </c>
      <c r="E148" s="0">
        <f>(SUMIF('2026-07-04'!F3:F96,'Rekap by Type'!C148,'2026-07-04'!I3:I96))</f>
        <v/>
      </c>
      <c r="F148" s="0">
        <f>(SUMIF('2026-07-04'!F3:F96,'Rekap by Type'!C148,'2026-07-04'!J3:J96))</f>
        <v/>
      </c>
      <c r="G148" s="0">
        <f>ROUND(F148/1.11,0)</f>
        <v/>
      </c>
    </row>
    <row r="149" spans="1:7">
      <c r="A149" s="0" t="inlineStr">
        <is>
          <t>SUHY</t>
        </is>
      </c>
      <c r="B149" s="0" t="inlineStr">
        <is>
          <t>NKA</t>
        </is>
      </c>
      <c r="C149" s="0" t="inlineStr">
        <is>
          <t>GRAND LUCKY</t>
        </is>
      </c>
      <c r="D149" s="0">
        <f>(SUMIF('2026-07-04'!F3:F96,'Rekap by Type'!C149,'2026-07-04'!L3:L96))</f>
        <v/>
      </c>
      <c r="E149" s="0">
        <f>(SUMIF('2026-07-04'!F3:F96,'Rekap by Type'!C149,'2026-07-04'!I3:I96))</f>
        <v/>
      </c>
      <c r="F149" s="0">
        <f>(SUMIF('2026-07-04'!F3:F96,'Rekap by Type'!C149,'2026-07-04'!J3:J96))</f>
        <v/>
      </c>
      <c r="G149" s="0">
        <f>ROUND(F149/1.11,0)</f>
        <v/>
      </c>
    </row>
    <row r="150" spans="1:7">
      <c r="A150" s="0" t="inlineStr">
        <is>
          <t>SUHY</t>
        </is>
      </c>
      <c r="B150" s="0" t="inlineStr">
        <is>
          <t>NKA</t>
        </is>
      </c>
      <c r="C150" s="0" t="inlineStr">
        <is>
          <t>YOGYA GRIYA</t>
        </is>
      </c>
      <c r="D150" s="0">
        <f>(SUMIF('2026-07-04'!F3:F96,'Rekap by Type'!C150,'2026-07-04'!L3:L96))</f>
        <v/>
      </c>
      <c r="E150" s="0">
        <f>(SUMIF('2026-07-04'!F3:F96,'Rekap by Type'!C150,'2026-07-04'!I3:I96))</f>
        <v/>
      </c>
      <c r="F150" s="0">
        <f>(SUMIF('2026-07-04'!F3:F96,'Rekap by Type'!C150,'2026-07-04'!J3:J96))</f>
        <v/>
      </c>
      <c r="G150" s="0">
        <f>ROUND(F150/1.11,0)</f>
        <v/>
      </c>
    </row>
    <row r="151" spans="1:7">
      <c r="A151" s="0" t="inlineStr">
        <is>
          <t>SUHY</t>
        </is>
      </c>
      <c r="B151" s="0" t="inlineStr">
        <is>
          <t>NKA</t>
        </is>
      </c>
      <c r="C151" s="0" t="inlineStr">
        <is>
          <t>HERO</t>
        </is>
      </c>
      <c r="D151" s="0">
        <f>(SUMIF('2026-07-04'!F3:F96,'Rekap by Type'!C151,'2026-07-04'!L3:L96))</f>
        <v/>
      </c>
      <c r="E151" s="0">
        <f>(SUMIF('2026-07-04'!F3:F96,'Rekap by Type'!C151,'2026-07-04'!I3:I96))</f>
        <v/>
      </c>
      <c r="F151" s="0">
        <f>(SUMIF('2026-07-04'!F3:F96,'Rekap by Type'!C151,'2026-07-04'!J3:J96))</f>
        <v/>
      </c>
      <c r="G151" s="0">
        <f>ROUND(F151/1.11,0)</f>
        <v/>
      </c>
    </row>
    <row r="152" spans="1:7">
      <c r="A152" s="0" t="inlineStr">
        <is>
          <t>SUHY</t>
        </is>
      </c>
      <c r="B152" s="0" t="inlineStr">
        <is>
          <t>NKA</t>
        </is>
      </c>
      <c r="C152" s="0" t="inlineStr">
        <is>
          <t>MPPA</t>
        </is>
      </c>
      <c r="D152" s="0">
        <f>(SUMIF('2026-07-04'!F3:F96,'Rekap by Type'!C152,'2026-07-04'!L3:L96))</f>
        <v/>
      </c>
      <c r="E152" s="0">
        <f>(SUMIF('2026-07-04'!F3:F96,'Rekap by Type'!C152,'2026-07-04'!I3:I96))</f>
        <v/>
      </c>
      <c r="F152" s="0">
        <f>(SUMIF('2026-07-04'!F3:F96,'Rekap by Type'!C152,'2026-07-04'!J3:J96))</f>
        <v/>
      </c>
      <c r="G152" s="0">
        <f>ROUND(F152/1.11,0)</f>
        <v/>
      </c>
    </row>
    <row r="153" spans="1:7">
      <c r="A153" s="0" t="inlineStr">
        <is>
          <t>SUHY</t>
        </is>
      </c>
      <c r="B153" s="0" t="inlineStr">
        <is>
          <t>NKA</t>
        </is>
      </c>
      <c r="C153" s="0" t="inlineStr">
        <is>
          <t>INDO GROSIR</t>
        </is>
      </c>
      <c r="D153" s="0">
        <f>(SUMIF('2026-07-04'!F3:F96,'Rekap by Type'!C153,'2026-07-04'!L3:L96))</f>
        <v/>
      </c>
      <c r="E153" s="0">
        <f>(SUMIF('2026-07-04'!F3:F96,'Rekap by Type'!C153,'2026-07-04'!I3:I96))</f>
        <v/>
      </c>
      <c r="F153" s="0">
        <f>(SUMIF('2026-07-04'!F3:F96,'Rekap by Type'!C153,'2026-07-04'!J3:J96))</f>
        <v/>
      </c>
      <c r="G153" s="0">
        <f>ROUND(F153/1.11,0)</f>
        <v/>
      </c>
    </row>
    <row r="154" spans="1:7">
      <c r="A154" s="0" t="inlineStr">
        <is>
          <t>SUHY</t>
        </is>
      </c>
      <c r="B154" s="0" t="inlineStr">
        <is>
          <t>NKA</t>
        </is>
      </c>
      <c r="C154" s="0" t="inlineStr">
        <is>
          <t>LOTTE SHOPPING</t>
        </is>
      </c>
      <c r="D154" s="0">
        <f>(SUMIF('2026-07-04'!F3:F96,'Rekap by Type'!C154,'2026-07-04'!L3:L96))</f>
        <v/>
      </c>
      <c r="E154" s="0">
        <f>(SUMIF('2026-07-04'!F3:F96,'Rekap by Type'!C154,'2026-07-04'!I3:I96))</f>
        <v/>
      </c>
      <c r="F154" s="0">
        <f>(SUMIF('2026-07-04'!F3:F96,'Rekap by Type'!C154,'2026-07-04'!J3:J96))</f>
        <v/>
      </c>
      <c r="G154" s="0">
        <f>ROUND(F154/1.11,0)</f>
        <v/>
      </c>
    </row>
    <row r="155" spans="1:7">
      <c r="A155" s="0" t="inlineStr">
        <is>
          <t>SUHY</t>
        </is>
      </c>
      <c r="B155" s="0" t="inlineStr">
        <is>
          <t>NKA</t>
        </is>
      </c>
      <c r="C155" s="0" t="inlineStr">
        <is>
          <t>LULU RETAIL</t>
        </is>
      </c>
      <c r="D155" s="0">
        <f>(SUMIF('2026-07-04'!F3:F96,'Rekap by Type'!C155,'2026-07-04'!L3:L96))</f>
        <v/>
      </c>
      <c r="E155" s="0">
        <f>(SUMIF('2026-07-04'!F3:F96,'Rekap by Type'!C155,'2026-07-04'!I3:I96))</f>
        <v/>
      </c>
      <c r="F155" s="0">
        <f>(SUMIF('2026-07-04'!F3:F96,'Rekap by Type'!C155,'2026-07-04'!J3:J96))</f>
        <v/>
      </c>
      <c r="G155" s="0">
        <f>ROUND(F155/1.11,0)</f>
        <v/>
      </c>
    </row>
    <row r="156" spans="1:7">
      <c r="A156" s="0" t="inlineStr">
        <is>
          <t>SUHY</t>
        </is>
      </c>
      <c r="B156" s="0" t="inlineStr">
        <is>
          <t>NKA</t>
        </is>
      </c>
      <c r="C156" s="0" t="inlineStr">
        <is>
          <t>RAMAYANA</t>
        </is>
      </c>
      <c r="D156" s="0">
        <f>(SUMIF('2026-07-04'!F3:F96,'Rekap by Type'!C156,'2026-07-04'!L3:L96))</f>
        <v/>
      </c>
      <c r="E156" s="0">
        <f>(SUMIF('2026-07-04'!F3:F96,'Rekap by Type'!C156,'2026-07-04'!I3:I96))</f>
        <v/>
      </c>
      <c r="F156" s="0">
        <f>(SUMIF('2026-07-04'!F3:F96,'Rekap by Type'!C156,'2026-07-04'!J3:J96))</f>
        <v/>
      </c>
      <c r="G156" s="0">
        <f>ROUND(F156/1.11,0)</f>
        <v/>
      </c>
    </row>
    <row r="157" spans="1:7">
      <c r="A157" s="0" t="inlineStr">
        <is>
          <t>SUHY</t>
        </is>
      </c>
      <c r="B157" s="0" t="inlineStr">
        <is>
          <t>NKA</t>
        </is>
      </c>
      <c r="C157" s="0" t="inlineStr">
        <is>
          <t>RAMBLA SUPERMARKET</t>
        </is>
      </c>
      <c r="D157" s="0">
        <f>(SUMIF('2026-07-04'!F3:F96,'Rekap by Type'!C157,'2026-07-04'!L3:L96))</f>
        <v/>
      </c>
      <c r="E157" s="0">
        <f>(SUMIF('2026-07-04'!F3:F96,'Rekap by Type'!C157,'2026-07-04'!I3:I96))</f>
        <v/>
      </c>
      <c r="F157" s="0">
        <f>(SUMIF('2026-07-04'!F3:F96,'Rekap by Type'!C157,'2026-07-04'!J3:J96))</f>
        <v/>
      </c>
      <c r="G157" s="0">
        <f>ROUND(F157/1.11,0)</f>
        <v/>
      </c>
    </row>
    <row r="158" spans="1:7">
      <c r="A158" s="0" t="inlineStr">
        <is>
          <t>SUHY</t>
        </is>
      </c>
      <c r="B158" s="0" t="inlineStr">
        <is>
          <t>NKA</t>
        </is>
      </c>
      <c r="C158" s="0" t="inlineStr">
        <is>
          <t>TRANS RETAIL</t>
        </is>
      </c>
      <c r="D158" s="0">
        <f>(SUMIF('2026-07-04'!F3:F96,'Rekap by Type'!C158,'2026-07-04'!L3:L96))</f>
        <v/>
      </c>
      <c r="E158" s="0">
        <f>(SUMIF('2026-07-04'!F3:F96,'Rekap by Type'!C158,'2026-07-04'!I3:I96))</f>
        <v/>
      </c>
      <c r="F158" s="0">
        <f>(SUMIF('2026-07-04'!F3:F96,'Rekap by Type'!C158,'2026-07-04'!J3:J96))</f>
        <v/>
      </c>
      <c r="G158" s="0">
        <f>ROUND(F158/1.11,0)</f>
        <v/>
      </c>
    </row>
    <row r="159" spans="1:7">
      <c r="A159" s="0" t="inlineStr">
        <is>
          <t>SUHY</t>
        </is>
      </c>
      <c r="B159" s="0" t="inlineStr">
        <is>
          <t>LKA</t>
        </is>
      </c>
      <c r="C159" s="0" t="inlineStr">
        <is>
          <t>AMANDA RETAILINDO</t>
        </is>
      </c>
      <c r="D159" s="0">
        <f>(SUMIF('2026-07-04'!F3:F96,'Rekap by Type'!C159,'2026-07-04'!L3:L96))</f>
        <v/>
      </c>
      <c r="E159" s="0">
        <f>(SUMIF('2026-07-04'!F3:F96,'Rekap by Type'!C159,'2026-07-04'!I3:I96))</f>
        <v/>
      </c>
      <c r="F159" s="0">
        <f>(SUMIF('2026-07-04'!F3:F96,'Rekap by Type'!C159,'2026-07-04'!J3:J96))</f>
        <v/>
      </c>
      <c r="G159" s="0">
        <f>ROUND(F159/1.11,0)</f>
        <v/>
      </c>
    </row>
    <row r="160" spans="1:7">
      <c r="A160" s="0" t="inlineStr">
        <is>
          <t>SUHY</t>
        </is>
      </c>
      <c r="B160" s="0" t="inlineStr">
        <is>
          <t>LKA</t>
        </is>
      </c>
      <c r="C160" s="0" t="inlineStr">
        <is>
          <t>FAJAR</t>
        </is>
      </c>
      <c r="D160" s="0">
        <f>(SUMIF('2026-07-04'!F3:F96,'Rekap by Type'!C160,'2026-07-04'!L3:L96))</f>
        <v/>
      </c>
      <c r="E160" s="0">
        <f>(SUMIF('2026-07-04'!F3:F96,'Rekap by Type'!C160,'2026-07-04'!I3:I96))</f>
        <v/>
      </c>
      <c r="F160" s="0">
        <f>(SUMIF('2026-07-04'!F3:F96,'Rekap by Type'!C160,'2026-07-04'!J3:J96))</f>
        <v/>
      </c>
      <c r="G160" s="0">
        <f>ROUND(F160/1.11,0)</f>
        <v/>
      </c>
    </row>
    <row r="161" spans="1:7">
      <c r="A161" s="0" t="inlineStr">
        <is>
          <t>SUHY</t>
        </is>
      </c>
      <c r="B161" s="0" t="inlineStr">
        <is>
          <t>LKA</t>
        </is>
      </c>
      <c r="C161" s="0" t="inlineStr">
        <is>
          <t>FOODMAX</t>
        </is>
      </c>
      <c r="D161" s="0">
        <f>(SUMIF('2026-07-04'!F3:F96,'Rekap by Type'!C161,'2026-07-04'!L3:L96))</f>
        <v/>
      </c>
      <c r="E161" s="0">
        <f>(SUMIF('2026-07-04'!F3:F96,'Rekap by Type'!C161,'2026-07-04'!I3:I96))</f>
        <v/>
      </c>
      <c r="F161" s="0">
        <f>(SUMIF('2026-07-04'!F3:F96,'Rekap by Type'!C161,'2026-07-04'!J3:J96))</f>
        <v/>
      </c>
      <c r="G161" s="0">
        <f>ROUND(F161/1.11,0)</f>
        <v/>
      </c>
    </row>
    <row r="162" spans="1:7">
      <c r="A162" s="0" t="inlineStr">
        <is>
          <t>SUHY</t>
        </is>
      </c>
      <c r="B162" s="0" t="inlineStr">
        <is>
          <t>LKA</t>
        </is>
      </c>
      <c r="C162" s="0" t="inlineStr">
        <is>
          <t>NGESTI</t>
        </is>
      </c>
      <c r="D162" s="0">
        <f>(SUMIF('2026-07-04'!F3:F96,'Rekap by Type'!C162,'2026-07-04'!L3:L96))</f>
        <v/>
      </c>
      <c r="E162" s="0">
        <f>(SUMIF('2026-07-04'!F3:F96,'Rekap by Type'!C162,'2026-07-04'!I3:I96))</f>
        <v/>
      </c>
      <c r="F162" s="0">
        <f>(SUMIF('2026-07-04'!F3:F96,'Rekap by Type'!C162,'2026-07-04'!J3:J96))</f>
        <v/>
      </c>
      <c r="G162" s="0">
        <f>ROUND(F162/1.11,0)</f>
        <v/>
      </c>
    </row>
    <row r="163" spans="1:7">
      <c r="A163" s="0" t="inlineStr">
        <is>
          <t>SUHY</t>
        </is>
      </c>
      <c r="B163" s="0" t="inlineStr">
        <is>
          <t>LKA</t>
        </is>
      </c>
      <c r="C163" s="0" t="inlineStr">
        <is>
          <t>ANEKA BUANA</t>
        </is>
      </c>
      <c r="D163" s="0">
        <f>(SUMIF('2026-07-04'!F3:F96,'Rekap by Type'!C163,'2026-07-04'!L3:L96))</f>
        <v/>
      </c>
      <c r="E163" s="0">
        <f>(SUMIF('2026-07-04'!F3:F96,'Rekap by Type'!C163,'2026-07-04'!I3:I96))</f>
        <v/>
      </c>
      <c r="F163" s="0">
        <f>(SUMIF('2026-07-04'!F3:F96,'Rekap by Type'!C163,'2026-07-04'!J3:J96))</f>
        <v/>
      </c>
      <c r="G163" s="0">
        <f>ROUND(F163/1.11,0)</f>
        <v/>
      </c>
    </row>
    <row r="164" spans="1:7">
      <c r="A164" s="0" t="inlineStr">
        <is>
          <t>SUHY</t>
        </is>
      </c>
      <c r="B164" s="0" t="inlineStr">
        <is>
          <t>LKA</t>
        </is>
      </c>
      <c r="C164" s="0" t="inlineStr">
        <is>
          <t>ASIA</t>
        </is>
      </c>
      <c r="D164" s="0">
        <f>(SUMIF('2026-07-04'!F3:F96,'Rekap by Type'!C164,'2026-07-04'!L3:L96))</f>
        <v/>
      </c>
      <c r="E164" s="0">
        <f>(SUMIF('2026-07-04'!F3:F96,'Rekap by Type'!C164,'2026-07-04'!I3:I96))</f>
        <v/>
      </c>
      <c r="F164" s="0">
        <f>(SUMIF('2026-07-04'!F3:F96,'Rekap by Type'!C164,'2026-07-04'!J3:J96))</f>
        <v/>
      </c>
      <c r="G164" s="0">
        <f>ROUND(F164/1.11,0)</f>
        <v/>
      </c>
    </row>
    <row r="165" spans="1:7">
      <c r="A165" s="0" t="inlineStr">
        <is>
          <t>SUHY</t>
        </is>
      </c>
      <c r="B165" s="0" t="inlineStr">
        <is>
          <t>LKA</t>
        </is>
      </c>
      <c r="C165" s="0" t="inlineStr">
        <is>
          <t>BINA</t>
        </is>
      </c>
      <c r="D165" s="0">
        <f>(SUMIF('2026-07-04'!F3:F96,'Rekap by Type'!C165,'2026-07-04'!L3:L96))</f>
        <v/>
      </c>
      <c r="E165" s="0">
        <f>(SUMIF('2026-07-04'!F3:F96,'Rekap by Type'!C165,'2026-07-04'!I3:I96))</f>
        <v/>
      </c>
      <c r="F165" s="0">
        <f>(SUMIF('2026-07-04'!F3:F96,'Rekap by Type'!C165,'2026-07-04'!J3:J96))</f>
        <v/>
      </c>
      <c r="G165" s="0">
        <f>ROUND(F165/1.11,0)</f>
        <v/>
      </c>
    </row>
    <row r="166" spans="1:7">
      <c r="A166" s="0" t="inlineStr">
        <is>
          <t>SUHY</t>
        </is>
      </c>
      <c r="B166" s="0" t="inlineStr">
        <is>
          <t>LKA</t>
        </is>
      </c>
      <c r="C166" s="0" t="inlineStr">
        <is>
          <t>BORMA</t>
        </is>
      </c>
      <c r="D166" s="0">
        <f>(SUMIF('2026-07-04'!F3:F96,'Rekap by Type'!C166,'2026-07-04'!L3:L96))</f>
        <v/>
      </c>
      <c r="E166" s="0">
        <f>(SUMIF('2026-07-04'!F3:F96,'Rekap by Type'!C166,'2026-07-04'!I3:I96))</f>
        <v/>
      </c>
      <c r="F166" s="0">
        <f>(SUMIF('2026-07-04'!F3:F96,'Rekap by Type'!C166,'2026-07-04'!J3:J96))</f>
        <v/>
      </c>
      <c r="G166" s="0">
        <f>ROUND(F166/1.11,0)</f>
        <v/>
      </c>
    </row>
    <row r="167" spans="1:7">
      <c r="A167" s="0" t="inlineStr">
        <is>
          <t>SUHY</t>
        </is>
      </c>
      <c r="B167" s="0" t="inlineStr">
        <is>
          <t>LKA</t>
        </is>
      </c>
      <c r="C167" s="0" t="inlineStr">
        <is>
          <t>BOSS FOOD</t>
        </is>
      </c>
      <c r="D167" s="0">
        <f>(SUMIF('2026-07-04'!F3:F96,'Rekap by Type'!C167,'2026-07-04'!L3:L96))</f>
        <v/>
      </c>
      <c r="E167" s="0">
        <f>(SUMIF('2026-07-04'!F3:F96,'Rekap by Type'!C167,'2026-07-04'!I3:I96))</f>
        <v/>
      </c>
      <c r="F167" s="0">
        <f>(SUMIF('2026-07-04'!F3:F96,'Rekap by Type'!C167,'2026-07-04'!J3:J96))</f>
        <v/>
      </c>
      <c r="G167" s="0">
        <f>ROUND(F167/1.11,0)</f>
        <v/>
      </c>
    </row>
    <row r="168" spans="1:7">
      <c r="A168" s="0" t="inlineStr">
        <is>
          <t>SUHY</t>
        </is>
      </c>
      <c r="B168" s="0" t="inlineStr">
        <is>
          <t>LKA</t>
        </is>
      </c>
      <c r="C168" s="0" t="inlineStr">
        <is>
          <t>BRASTAGI</t>
        </is>
      </c>
      <c r="D168" s="0">
        <f>(SUMIF('2026-07-04'!F3:F96,'Rekap by Type'!C168,'2026-07-04'!L3:L96))</f>
        <v/>
      </c>
      <c r="E168" s="0">
        <f>(SUMIF('2026-07-04'!F3:F96,'Rekap by Type'!C168,'2026-07-04'!I3:I96))</f>
        <v/>
      </c>
      <c r="F168" s="0">
        <f>(SUMIF('2026-07-04'!F3:F96,'Rekap by Type'!C168,'2026-07-04'!J3:J96))</f>
        <v/>
      </c>
      <c r="G168" s="0">
        <f>ROUND(F168/1.11,0)</f>
        <v/>
      </c>
    </row>
    <row r="169" spans="1:7">
      <c r="A169" s="0" t="inlineStr">
        <is>
          <t>SUHY</t>
        </is>
      </c>
      <c r="B169" s="0" t="inlineStr">
        <is>
          <t>LKA</t>
        </is>
      </c>
      <c r="C169" s="0" t="inlineStr">
        <is>
          <t>BUDIMAN</t>
        </is>
      </c>
      <c r="D169" s="0">
        <f>(SUMIF('2026-07-04'!F3:F96,'Rekap by Type'!C169,'2026-07-04'!L3:L96))</f>
        <v/>
      </c>
      <c r="E169" s="0">
        <f>(SUMIF('2026-07-04'!F3:F96,'Rekap by Type'!C169,'2026-07-04'!I3:I96))</f>
        <v/>
      </c>
      <c r="F169" s="0">
        <f>(SUMIF('2026-07-04'!F3:F96,'Rekap by Type'!C169,'2026-07-04'!J3:J96))</f>
        <v/>
      </c>
      <c r="G169" s="0">
        <f>ROUND(F169/1.11,0)</f>
        <v/>
      </c>
    </row>
    <row r="170" spans="1:7">
      <c r="A170" s="0" t="inlineStr">
        <is>
          <t>SUHY</t>
        </is>
      </c>
      <c r="B170" s="0" t="inlineStr">
        <is>
          <t>LKA</t>
        </is>
      </c>
      <c r="C170" s="0" t="inlineStr">
        <is>
          <t>CAHAYA</t>
        </is>
      </c>
      <c r="D170" s="0">
        <f>(SUMIF('2026-07-04'!F3:F96,'Rekap by Type'!C170,'2026-07-04'!L3:L96))</f>
        <v/>
      </c>
      <c r="E170" s="0">
        <f>(SUMIF('2026-07-04'!F3:F96,'Rekap by Type'!C170,'2026-07-04'!I3:I96))</f>
        <v/>
      </c>
      <c r="F170" s="0">
        <f>(SUMIF('2026-07-04'!F3:F96,'Rekap by Type'!C170,'2026-07-04'!J3:J96))</f>
        <v/>
      </c>
      <c r="G170" s="0">
        <f>ROUND(F170/1.11,0)</f>
        <v/>
      </c>
    </row>
    <row r="171" spans="1:7">
      <c r="A171" s="0" t="inlineStr">
        <is>
          <t>SUHY</t>
        </is>
      </c>
      <c r="B171" s="0" t="inlineStr">
        <is>
          <t>LKA</t>
        </is>
      </c>
      <c r="C171" s="0" t="inlineStr">
        <is>
          <t>DISKON SUPERMARKET</t>
        </is>
      </c>
      <c r="D171" s="0">
        <f>(SUMIF('2026-07-04'!F3:F96,'Rekap by Type'!C171,'2026-07-04'!L3:L96))</f>
        <v/>
      </c>
      <c r="E171" s="0">
        <f>(SUMIF('2026-07-04'!F3:F96,'Rekap by Type'!C171,'2026-07-04'!I3:I96))</f>
        <v/>
      </c>
      <c r="F171" s="0">
        <f>(SUMIF('2026-07-04'!F3:F96,'Rekap by Type'!C171,'2026-07-04'!J3:J96))</f>
        <v/>
      </c>
      <c r="G171" s="0">
        <f>ROUND(F171/1.11,0)</f>
        <v/>
      </c>
    </row>
    <row r="172" spans="1:7">
      <c r="A172" s="0" t="inlineStr">
        <is>
          <t>SUHY</t>
        </is>
      </c>
      <c r="B172" s="0" t="inlineStr">
        <is>
          <t>LKA</t>
        </is>
      </c>
      <c r="C172" s="0" t="inlineStr">
        <is>
          <t>GS RETAIL</t>
        </is>
      </c>
      <c r="D172" s="0">
        <f>(SUMIF('2026-07-04'!F3:F96,'Rekap by Type'!C172,'2026-07-04'!L3:L96))</f>
        <v/>
      </c>
      <c r="E172" s="0">
        <f>(SUMIF('2026-07-04'!F3:F96,'Rekap by Type'!C172,'2026-07-04'!I3:I96))</f>
        <v/>
      </c>
      <c r="F172" s="0">
        <f>(SUMIF('2026-07-04'!F3:F96,'Rekap by Type'!C172,'2026-07-04'!J3:J96))</f>
        <v/>
      </c>
      <c r="G172" s="0">
        <f>ROUND(F172/1.11,0)</f>
        <v/>
      </c>
    </row>
    <row r="173" spans="1:7">
      <c r="A173" s="0" t="inlineStr">
        <is>
          <t>SUHY</t>
        </is>
      </c>
      <c r="B173" s="0" t="inlineStr">
        <is>
          <t>LKA</t>
        </is>
      </c>
      <c r="C173" s="0" t="inlineStr">
        <is>
          <t>HARI-HARI</t>
        </is>
      </c>
      <c r="D173" s="0">
        <f>(SUMIF('2026-07-04'!F3:F96,'Rekap by Type'!C173,'2026-07-04'!L3:L96))</f>
        <v/>
      </c>
      <c r="E173" s="0">
        <f>(SUMIF('2026-07-04'!F3:F96,'Rekap by Type'!C173,'2026-07-04'!I3:I96))</f>
        <v/>
      </c>
      <c r="F173" s="0">
        <f>(SUMIF('2026-07-04'!F3:F96,'Rekap by Type'!C173,'2026-07-04'!J3:J96))</f>
        <v/>
      </c>
      <c r="G173" s="0">
        <f>ROUND(F173/1.11,0)</f>
        <v/>
      </c>
    </row>
    <row r="174" spans="1:7">
      <c r="A174" s="0" t="inlineStr">
        <is>
          <t>SUHY</t>
        </is>
      </c>
      <c r="B174" s="0" t="inlineStr">
        <is>
          <t>LKA</t>
        </is>
      </c>
      <c r="C174" s="0" t="inlineStr">
        <is>
          <t>HARMONY SWALAYAN</t>
        </is>
      </c>
      <c r="D174" s="0">
        <f>(SUMIF('2026-07-04'!F3:F96,'Rekap by Type'!C174,'2026-07-04'!L3:L96))</f>
        <v/>
      </c>
      <c r="E174" s="0">
        <f>(SUMIF('2026-07-04'!F3:F96,'Rekap by Type'!C174,'2026-07-04'!I3:I96))</f>
        <v/>
      </c>
      <c r="F174" s="0">
        <f>(SUMIF('2026-07-04'!F3:F96,'Rekap by Type'!C174,'2026-07-04'!J3:J96))</f>
        <v/>
      </c>
      <c r="G174" s="0">
        <f>ROUND(F174/1.11,0)</f>
        <v/>
      </c>
    </row>
    <row r="175" spans="1:7">
      <c r="A175" s="0" t="inlineStr">
        <is>
          <t>SUHY</t>
        </is>
      </c>
      <c r="B175" s="0" t="inlineStr">
        <is>
          <t>LKA</t>
        </is>
      </c>
      <c r="C175" s="0" t="inlineStr">
        <is>
          <t>HOKKY FAMILI</t>
        </is>
      </c>
      <c r="D175" s="0">
        <f>(SUMIF('2026-07-04'!F3:F96,'Rekap by Type'!C175,'2026-07-04'!L3:L96))</f>
        <v/>
      </c>
      <c r="E175" s="0">
        <f>(SUMIF('2026-07-04'!F3:F96,'Rekap by Type'!C175,'2026-07-04'!I3:I96))</f>
        <v/>
      </c>
      <c r="F175" s="0">
        <f>(SUMIF('2026-07-04'!F3:F96,'Rekap by Type'!C175,'2026-07-04'!J3:J96))</f>
        <v/>
      </c>
      <c r="G175" s="0">
        <f>ROUND(F175/1.11,0)</f>
        <v/>
      </c>
    </row>
    <row r="176" spans="1:7">
      <c r="A176" s="0" t="inlineStr">
        <is>
          <t>SUHY</t>
        </is>
      </c>
      <c r="B176" s="0" t="inlineStr">
        <is>
          <t>LKA</t>
        </is>
      </c>
      <c r="C176" s="0" t="inlineStr">
        <is>
          <t>IRIAN</t>
        </is>
      </c>
      <c r="D176" s="0">
        <f>(SUMIF('2026-07-04'!F3:F96,'Rekap by Type'!C176,'2026-07-04'!L3:L96))</f>
        <v/>
      </c>
      <c r="E176" s="0">
        <f>(SUMIF('2026-07-04'!F3:F96,'Rekap by Type'!C176,'2026-07-04'!I3:I96))</f>
        <v/>
      </c>
      <c r="F176" s="0">
        <f>(SUMIF('2026-07-04'!F3:F96,'Rekap by Type'!C176,'2026-07-04'!J3:J96))</f>
        <v/>
      </c>
      <c r="G176" s="0">
        <f>ROUND(F176/1.11,0)</f>
        <v/>
      </c>
    </row>
    <row r="177" spans="1:7">
      <c r="A177" s="0" t="inlineStr">
        <is>
          <t>SUHY</t>
        </is>
      </c>
      <c r="B177" s="0" t="inlineStr">
        <is>
          <t>LKA</t>
        </is>
      </c>
      <c r="C177" s="0" t="inlineStr">
        <is>
          <t>MAJU BERSAMA</t>
        </is>
      </c>
      <c r="D177" s="0">
        <f>(SUMIF('2026-07-04'!F3:F96,'Rekap by Type'!C177,'2026-07-04'!L3:L96))</f>
        <v/>
      </c>
      <c r="E177" s="0">
        <f>(SUMIF('2026-07-04'!F3:F96,'Rekap by Type'!C177,'2026-07-04'!I3:I96))</f>
        <v/>
      </c>
      <c r="F177" s="0">
        <f>(SUMIF('2026-07-04'!F3:F96,'Rekap by Type'!C177,'2026-07-04'!J3:J96))</f>
        <v/>
      </c>
      <c r="G177" s="0">
        <f>ROUND(F177/1.11,0)</f>
        <v/>
      </c>
    </row>
    <row r="178" spans="1:7">
      <c r="A178" s="0" t="inlineStr">
        <is>
          <t>SUHY</t>
        </is>
      </c>
      <c r="B178" s="0" t="inlineStr">
        <is>
          <t>LKA</t>
        </is>
      </c>
      <c r="C178" s="0" t="inlineStr">
        <is>
          <t>MITRA DISKON</t>
        </is>
      </c>
      <c r="D178" s="0">
        <f>(SUMIF('2026-07-04'!F3:F96,'Rekap by Type'!C178,'2026-07-04'!L3:L96))</f>
        <v/>
      </c>
      <c r="E178" s="0">
        <f>(SUMIF('2026-07-04'!F3:F96,'Rekap by Type'!C178,'2026-07-04'!I3:I96))</f>
        <v/>
      </c>
      <c r="F178" s="0">
        <f>(SUMIF('2026-07-04'!F3:F96,'Rekap by Type'!C178,'2026-07-04'!J3:J96))</f>
        <v/>
      </c>
      <c r="G178" s="0">
        <f>ROUND(F178/1.11,0)</f>
        <v/>
      </c>
    </row>
    <row r="179" spans="1:7">
      <c r="A179" s="0" t="inlineStr">
        <is>
          <t>SUHY</t>
        </is>
      </c>
      <c r="B179" s="0" t="inlineStr">
        <is>
          <t>LKA</t>
        </is>
      </c>
      <c r="C179" s="0" t="inlineStr">
        <is>
          <t>NAGA</t>
        </is>
      </c>
      <c r="D179" s="0">
        <f>(SUMIF('2026-07-04'!F3:F96,'Rekap by Type'!C179,'2026-07-04'!L3:L96))</f>
        <v/>
      </c>
      <c r="E179" s="0">
        <f>(SUMIF('2026-07-04'!F3:F96,'Rekap by Type'!C179,'2026-07-04'!I3:I96))</f>
        <v/>
      </c>
      <c r="F179" s="0">
        <f>(SUMIF('2026-07-04'!F3:F96,'Rekap by Type'!C179,'2026-07-04'!J3:J96))</f>
        <v/>
      </c>
      <c r="G179" s="0">
        <f>ROUND(F179/1.11,0)</f>
        <v/>
      </c>
    </row>
    <row r="180" spans="1:7">
      <c r="A180" s="0" t="inlineStr">
        <is>
          <t>SUHY</t>
        </is>
      </c>
      <c r="B180" s="0" t="inlineStr">
        <is>
          <t>LKA</t>
        </is>
      </c>
      <c r="C180" s="0" t="inlineStr">
        <is>
          <t>SELAMAT TOSERBA</t>
        </is>
      </c>
      <c r="D180" s="0">
        <f>(SUMIF('2026-07-04'!F3:F96,'Rekap by Type'!C180,'2026-07-04'!L3:L96))</f>
        <v/>
      </c>
      <c r="E180" s="0">
        <f>(SUMIF('2026-07-04'!F3:F96,'Rekap by Type'!C180,'2026-07-04'!I3:I96))</f>
        <v/>
      </c>
      <c r="F180" s="0">
        <f>(SUMIF('2026-07-04'!F3:F96,'Rekap by Type'!C180,'2026-07-04'!J3:J96))</f>
        <v/>
      </c>
      <c r="G180" s="0">
        <f>ROUND(F180/1.11,0)</f>
        <v/>
      </c>
    </row>
    <row r="181" spans="1:7">
      <c r="A181" s="0" t="inlineStr">
        <is>
          <t>SUHY</t>
        </is>
      </c>
      <c r="B181" s="0" t="inlineStr">
        <is>
          <t>LKA</t>
        </is>
      </c>
      <c r="C181" s="0" t="inlineStr">
        <is>
          <t>SUPERMARKET CREDIT</t>
        </is>
      </c>
      <c r="D181" s="0">
        <f>(SUMIF('2026-07-04'!F3:F96,'Rekap by Type'!C181,'2026-07-04'!L3:L96))</f>
        <v/>
      </c>
      <c r="E181" s="0">
        <f>(SUMIF('2026-07-04'!F3:F96,'Rekap by Type'!C181,'2026-07-04'!I3:I96))</f>
        <v/>
      </c>
      <c r="F181" s="0">
        <f>(SUMIF('2026-07-04'!F3:F96,'Rekap by Type'!C181,'2026-07-04'!J3:J96))</f>
        <v/>
      </c>
      <c r="G181" s="0">
        <f>ROUND(F181/1.11,0)</f>
        <v/>
      </c>
    </row>
    <row r="182" spans="1:7">
      <c r="A182" s="0" t="inlineStr">
        <is>
          <t>SUHY</t>
        </is>
      </c>
      <c r="B182" s="0" t="inlineStr">
        <is>
          <t>LKA</t>
        </is>
      </c>
      <c r="C182" s="0" t="inlineStr">
        <is>
          <t>SURYA</t>
        </is>
      </c>
      <c r="D182" s="0">
        <f>(SUMIF('2026-07-04'!F3:F96,'Rekap by Type'!C182,'2026-07-04'!L3:L96))</f>
        <v/>
      </c>
      <c r="E182" s="0">
        <f>(SUMIF('2026-07-04'!F3:F96,'Rekap by Type'!C182,'2026-07-04'!I3:I96))</f>
        <v/>
      </c>
      <c r="F182" s="0">
        <f>(SUMIF('2026-07-04'!F3:F96,'Rekap by Type'!C182,'2026-07-04'!J3:J96))</f>
        <v/>
      </c>
      <c r="G182" s="0">
        <f>ROUND(F182/1.11,0)</f>
        <v/>
      </c>
    </row>
    <row r="183" spans="1:7">
      <c r="A183" s="0" t="inlineStr">
        <is>
          <t>SUHY</t>
        </is>
      </c>
      <c r="B183" s="0" t="inlineStr">
        <is>
          <t>LKA</t>
        </is>
      </c>
      <c r="C183" s="0" t="inlineStr">
        <is>
          <t>SUZUYA</t>
        </is>
      </c>
      <c r="D183" s="0">
        <f>(SUMIF('2026-07-04'!F3:F96,'Rekap by Type'!C183,'2026-07-04'!L3:L96))</f>
        <v/>
      </c>
      <c r="E183" s="0">
        <f>(SUMIF('2026-07-04'!F3:F96,'Rekap by Type'!C183,'2026-07-04'!I3:I96))</f>
        <v/>
      </c>
      <c r="F183" s="0">
        <f>(SUMIF('2026-07-04'!F3:F96,'Rekap by Type'!C183,'2026-07-04'!J3:J96))</f>
        <v/>
      </c>
      <c r="G183" s="0">
        <f>ROUND(F183/1.11,0)</f>
        <v/>
      </c>
    </row>
    <row r="184" spans="1:7">
      <c r="A184" s="0" t="inlineStr">
        <is>
          <t>SUHY</t>
        </is>
      </c>
      <c r="B184" s="0" t="inlineStr">
        <is>
          <t>LKA</t>
        </is>
      </c>
      <c r="C184" s="0" t="inlineStr">
        <is>
          <t>TIP TOP</t>
        </is>
      </c>
      <c r="D184" s="0">
        <f>(SUMIF('2026-07-04'!F3:F96,'Rekap by Type'!C184,'2026-07-04'!L3:L96))</f>
        <v/>
      </c>
      <c r="E184" s="0">
        <f>(SUMIF('2026-07-04'!F3:F96,'Rekap by Type'!C184,'2026-07-04'!I3:I96))</f>
        <v/>
      </c>
      <c r="F184" s="0">
        <f>(SUMIF('2026-07-04'!F3:F96,'Rekap by Type'!C184,'2026-07-04'!J3:J96))</f>
        <v/>
      </c>
      <c r="G184" s="0">
        <f>ROUND(F184/1.11,0)</f>
        <v/>
      </c>
    </row>
    <row r="185" spans="1:7">
      <c r="A185" s="0" t="inlineStr">
        <is>
          <t>SUHY</t>
        </is>
      </c>
      <c r="B185" s="0" t="inlineStr">
        <is>
          <t>LKA</t>
        </is>
      </c>
      <c r="C185" s="0" t="inlineStr">
        <is>
          <t>YUKI</t>
        </is>
      </c>
      <c r="D185" s="0">
        <f>(SUMIF('2026-07-04'!F3:F96,'Rekap by Type'!C185,'2026-07-04'!L3:L96))</f>
        <v/>
      </c>
      <c r="E185" s="0">
        <f>(SUMIF('2026-07-04'!F3:F96,'Rekap by Type'!C185,'2026-07-04'!I3:I96))</f>
        <v/>
      </c>
      <c r="F185" s="0">
        <f>(SUMIF('2026-07-04'!F3:F96,'Rekap by Type'!C185,'2026-07-04'!J3:J96))</f>
        <v/>
      </c>
      <c r="G185" s="0">
        <f>ROUND(F185/1.11,0)</f>
        <v/>
      </c>
    </row>
    <row r="186" spans="1:7">
      <c r="A186" s="0" t="inlineStr">
        <is>
          <t>SUHY</t>
        </is>
      </c>
      <c r="B186" s="0" t="inlineStr">
        <is>
          <t>LSI</t>
        </is>
      </c>
      <c r="C186" s="0" t="inlineStr">
        <is>
          <t>LION</t>
        </is>
      </c>
      <c r="D186" s="0">
        <f>(SUMIF('2026-07-04'!F3:F96,'Rekap by Type'!C186,'2026-07-04'!L3:L96))</f>
        <v/>
      </c>
      <c r="E186" s="0">
        <f>(SUMIF('2026-07-04'!F3:F96,'Rekap by Type'!C186,'2026-07-04'!I3:I96))</f>
        <v/>
      </c>
      <c r="F186" s="0">
        <f>(SUMIF('2026-07-04'!F3:F96,'Rekap by Type'!C186,'2026-07-04'!J3:J96))</f>
        <v/>
      </c>
      <c r="G186" s="0">
        <f>ROUND(F186/1.11,0)</f>
        <v/>
      </c>
    </row>
    <row r="187" spans="1:7">
      <c r="A187" s="0" t="inlineStr">
        <is>
          <t>SUHY</t>
        </is>
      </c>
      <c r="B187" s="0" t="inlineStr">
        <is>
          <t>MMCVS</t>
        </is>
      </c>
      <c r="C187" s="0" t="inlineStr">
        <is>
          <t>LAWSON</t>
        </is>
      </c>
      <c r="D187" s="0">
        <f>(SUMIF('2026-07-04'!F3:F96,'Rekap by Type'!C187,'2026-07-04'!L3:L96))</f>
        <v/>
      </c>
      <c r="E187" s="0">
        <f>(SUMIF('2026-07-04'!F3:F96,'Rekap by Type'!C187,'2026-07-04'!I3:I96))</f>
        <v/>
      </c>
      <c r="F187" s="0">
        <f>(SUMIF('2026-07-04'!F3:F96,'Rekap by Type'!C187,'2026-07-04'!J3:J96))</f>
        <v/>
      </c>
      <c r="G187" s="0">
        <f>ROUND(F187/1.11,0)</f>
        <v/>
      </c>
    </row>
    <row r="188" spans="1:7">
      <c r="A188" s="0" t="inlineStr">
        <is>
          <t>SUHY</t>
        </is>
      </c>
      <c r="B188" s="0" t="inlineStr">
        <is>
          <t>MMCVS</t>
        </is>
      </c>
      <c r="C188" s="0" t="inlineStr">
        <is>
          <t>OSAVE</t>
        </is>
      </c>
      <c r="D188" s="0">
        <f>(SUMIF('2026-07-04'!F3:F96,'Rekap by Type'!C188,'2026-07-04'!L3:L96))</f>
        <v/>
      </c>
      <c r="E188" s="0">
        <f>(SUMIF('2026-07-04'!F3:F96,'Rekap by Type'!C188,'2026-07-04'!I3:I96))</f>
        <v/>
      </c>
      <c r="F188" s="0">
        <f>(SUMIF('2026-07-04'!F3:F96,'Rekap by Type'!C188,'2026-07-04'!J3:J96))</f>
        <v/>
      </c>
      <c r="G188" s="0">
        <f>ROUND(F188/1.11,0)</f>
        <v/>
      </c>
    </row>
    <row r="189" spans="1:7">
      <c r="A189" s="0" t="inlineStr">
        <is>
          <t>SUHY</t>
        </is>
      </c>
      <c r="B189" s="0" t="inlineStr">
        <is>
          <t>MMCVS</t>
        </is>
      </c>
      <c r="C189" s="0" t="inlineStr">
        <is>
          <t>VIVA HEALTH</t>
        </is>
      </c>
      <c r="D189" s="0">
        <f>(SUMIF('2026-07-04'!F3:F96,'Rekap by Type'!C189,'2026-07-04'!L3:L96))</f>
        <v/>
      </c>
      <c r="E189" s="0">
        <f>(SUMIF('2026-07-04'!F3:F96,'Rekap by Type'!C189,'2026-07-04'!I3:I96))</f>
        <v/>
      </c>
      <c r="F189" s="0">
        <f>(SUMIF('2026-07-04'!F3:F96,'Rekap by Type'!C189,'2026-07-04'!J3:J96))</f>
        <v/>
      </c>
      <c r="G189" s="0">
        <f>ROUND(F189/1.11,0)</f>
        <v/>
      </c>
    </row>
    <row r="190" spans="1:7">
      <c r="A190" s="0" t="inlineStr">
        <is>
          <t>SUHY</t>
        </is>
      </c>
      <c r="B190" s="0" t="inlineStr">
        <is>
          <t>MMCVS</t>
        </is>
      </c>
      <c r="C190" s="0" t="inlineStr">
        <is>
          <t>BLISS FRESHMART</t>
        </is>
      </c>
      <c r="D190" s="0">
        <f>(SUMIF('2026-07-04'!F3:F96,'Rekap by Type'!C190,'2026-07-04'!L3:L96))</f>
        <v/>
      </c>
      <c r="E190" s="0">
        <f>(SUMIF('2026-07-04'!F3:F96,'Rekap by Type'!C190,'2026-07-04'!I3:I96))</f>
        <v/>
      </c>
      <c r="F190" s="0">
        <f>(SUMIF('2026-07-04'!F3:F96,'Rekap by Type'!C190,'2026-07-04'!J3:J96))</f>
        <v/>
      </c>
      <c r="G190" s="0">
        <f>ROUND(F190/1.11,0)</f>
        <v/>
      </c>
    </row>
    <row r="191" spans="1:7">
      <c r="A191" s="0" t="inlineStr">
        <is>
          <t>SUHY</t>
        </is>
      </c>
      <c r="B191" s="0" t="inlineStr">
        <is>
          <t>MMCVS</t>
        </is>
      </c>
      <c r="C191" s="0" t="inlineStr">
        <is>
          <t>BRIGHT</t>
        </is>
      </c>
      <c r="D191" s="0">
        <f>(SUMIF('2026-07-04'!F3:F96,'Rekap by Type'!C191,'2026-07-04'!L3:L96))</f>
        <v/>
      </c>
      <c r="E191" s="0">
        <f>(SUMIF('2026-07-04'!F3:F96,'Rekap by Type'!C191,'2026-07-04'!I3:I96))</f>
        <v/>
      </c>
      <c r="F191" s="0">
        <f>(SUMIF('2026-07-04'!F3:F96,'Rekap by Type'!C191,'2026-07-04'!J3:J96))</f>
        <v/>
      </c>
      <c r="G191" s="0">
        <f>ROUND(F191/1.11,0)</f>
        <v/>
      </c>
    </row>
    <row r="192" spans="1:7">
      <c r="A192" s="0" t="inlineStr">
        <is>
          <t>SUHY</t>
        </is>
      </c>
      <c r="B192" s="0" t="inlineStr">
        <is>
          <t>MMCVS</t>
        </is>
      </c>
      <c r="C192" s="0" t="inlineStr">
        <is>
          <t>CIRCLE K</t>
        </is>
      </c>
      <c r="D192" s="0">
        <f>(SUMIF('2026-07-04'!F3:F96,'Rekap by Type'!C192,'2026-07-04'!L3:L96))</f>
        <v/>
      </c>
      <c r="E192" s="0">
        <f>(SUMIF('2026-07-04'!F3:F96,'Rekap by Type'!C192,'2026-07-04'!I3:I96))</f>
        <v/>
      </c>
      <c r="F192" s="0">
        <f>(SUMIF('2026-07-04'!F3:F96,'Rekap by Type'!C192,'2026-07-04'!J3:J96))</f>
        <v/>
      </c>
      <c r="G192" s="0">
        <f>ROUND(F192/1.11,0)</f>
        <v/>
      </c>
    </row>
    <row r="193" spans="1:7">
      <c r="A193" s="0" t="inlineStr">
        <is>
          <t>SUHY</t>
        </is>
      </c>
      <c r="B193" s="0" t="inlineStr">
        <is>
          <t>MMCVS</t>
        </is>
      </c>
      <c r="C193" s="0" t="inlineStr">
        <is>
          <t>DIAMONDFAIR</t>
        </is>
      </c>
      <c r="D193" s="0">
        <f>(SUMIF('2026-07-04'!F3:F96,'Rekap by Type'!C193,'2026-07-04'!L3:L96))</f>
        <v/>
      </c>
      <c r="E193" s="0">
        <f>(SUMIF('2026-07-04'!F3:F96,'Rekap by Type'!C193,'2026-07-04'!I3:I96))</f>
        <v/>
      </c>
      <c r="F193" s="0">
        <f>(SUMIF('2026-07-04'!F3:F96,'Rekap by Type'!C193,'2026-07-04'!J3:J96))</f>
        <v/>
      </c>
      <c r="G193" s="0">
        <f>ROUND(F193/1.11,0)</f>
        <v/>
      </c>
    </row>
    <row r="194" spans="1:7">
      <c r="A194" s="0" t="inlineStr">
        <is>
          <t>SUHY</t>
        </is>
      </c>
      <c r="B194" s="0" t="inlineStr">
        <is>
          <t>MMCVS</t>
        </is>
      </c>
      <c r="C194" s="0" t="inlineStr">
        <is>
          <t>FAMILY MART</t>
        </is>
      </c>
      <c r="D194" s="0">
        <f>(SUMIF('2026-07-04'!F3:F96,'Rekap by Type'!C194,'2026-07-04'!L3:L96))</f>
        <v/>
      </c>
      <c r="E194" s="0">
        <f>(SUMIF('2026-07-04'!F3:F96,'Rekap by Type'!C194,'2026-07-04'!I3:I96))</f>
        <v/>
      </c>
      <c r="F194" s="0">
        <f>(SUMIF('2026-07-04'!F3:F96,'Rekap by Type'!C194,'2026-07-04'!J3:J96))</f>
        <v/>
      </c>
      <c r="G194" s="0">
        <f>ROUND(F194/1.11,0)</f>
        <v/>
      </c>
    </row>
    <row r="195" spans="1:7">
      <c r="A195" s="0" t="inlineStr">
        <is>
          <t>SUHY</t>
        </is>
      </c>
      <c r="B195" s="0" t="inlineStr">
        <is>
          <t>MMCVS</t>
        </is>
      </c>
      <c r="C195" s="0" t="inlineStr">
        <is>
          <t>M MART</t>
        </is>
      </c>
      <c r="D195" s="0">
        <f>(SUMIF('2026-07-04'!F3:F96,'Rekap by Type'!C195,'2026-07-04'!L3:L96))</f>
        <v/>
      </c>
      <c r="E195" s="0">
        <f>(SUMIF('2026-07-04'!F3:F96,'Rekap by Type'!C195,'2026-07-04'!I3:I96))</f>
        <v/>
      </c>
      <c r="F195" s="0">
        <f>(SUMIF('2026-07-04'!F3:F96,'Rekap by Type'!C195,'2026-07-04'!J3:J96))</f>
        <v/>
      </c>
      <c r="G195" s="0">
        <f>ROUND(F195/1.11,0)</f>
        <v/>
      </c>
    </row>
    <row r="196" spans="1:7">
      <c r="A196" s="0" t="inlineStr">
        <is>
          <t>SUHY</t>
        </is>
      </c>
      <c r="B196" s="0" t="inlineStr">
        <is>
          <t>MMCVS</t>
        </is>
      </c>
      <c r="C196" s="0" t="inlineStr">
        <is>
          <t>MINIMART</t>
        </is>
      </c>
      <c r="D196" s="0">
        <f>(SUMIF('2026-07-04'!F3:F96,'Rekap by Type'!C196,'2026-07-04'!L3:L96))</f>
        <v/>
      </c>
      <c r="E196" s="0">
        <f>(SUMIF('2026-07-04'!F3:F96,'Rekap by Type'!C196,'2026-07-04'!I3:I96))</f>
        <v/>
      </c>
      <c r="F196" s="0">
        <f>(SUMIF('2026-07-04'!F3:F96,'Rekap by Type'!C196,'2026-07-04'!J3:J96))</f>
        <v/>
      </c>
      <c r="G196" s="0">
        <f>ROUND(F196/1.11,0)</f>
        <v/>
      </c>
    </row>
    <row r="197" spans="1:7">
      <c r="A197" s="0" t="inlineStr">
        <is>
          <t>SUHY</t>
        </is>
      </c>
      <c r="B197" s="0" t="inlineStr">
        <is>
          <t>MMCVS</t>
        </is>
      </c>
      <c r="C197" s="0" t="inlineStr">
        <is>
          <t>MM CREDIT</t>
        </is>
      </c>
      <c r="D197" s="0">
        <f>(SUMIF('2026-07-04'!F3:F96,'Rekap by Type'!C197,'2026-07-04'!L3:L96))</f>
        <v/>
      </c>
      <c r="E197" s="0">
        <f>(SUMIF('2026-07-04'!F3:F96,'Rekap by Type'!C197,'2026-07-04'!I3:I96))</f>
        <v/>
      </c>
      <c r="F197" s="0">
        <f>(SUMIF('2026-07-04'!F3:F96,'Rekap by Type'!C197,'2026-07-04'!J3:J96))</f>
        <v/>
      </c>
      <c r="G197" s="0">
        <f>ROUND(F197/1.11,0)</f>
        <v/>
      </c>
    </row>
    <row r="198" spans="1:7">
      <c r="A198" s="0" t="inlineStr">
        <is>
          <t>SUHY</t>
        </is>
      </c>
      <c r="B198" s="0" t="inlineStr">
        <is>
          <t>MMCVS</t>
        </is>
      </c>
      <c r="C198" s="0" t="inlineStr">
        <is>
          <t>PODJOK HALAL</t>
        </is>
      </c>
      <c r="D198" s="0">
        <f>(SUMIF('2026-07-04'!F3:F96,'Rekap by Type'!C198,'2026-07-04'!L3:L96))</f>
        <v/>
      </c>
      <c r="E198" s="0">
        <f>(SUMIF('2026-07-04'!F3:F96,'Rekap by Type'!C198,'2026-07-04'!I3:I96))</f>
        <v/>
      </c>
      <c r="F198" s="0">
        <f>(SUMIF('2026-07-04'!F3:F96,'Rekap by Type'!C198,'2026-07-04'!J3:J96))</f>
        <v/>
      </c>
      <c r="G198" s="0">
        <f>ROUND(F198/1.11,0)</f>
        <v/>
      </c>
    </row>
    <row r="199" spans="1:7">
      <c r="A199" s="0" t="inlineStr">
        <is>
          <t>SUHY</t>
        </is>
      </c>
      <c r="B199" s="0" t="inlineStr">
        <is>
          <t>MMCVS</t>
        </is>
      </c>
      <c r="C199" s="0" t="inlineStr">
        <is>
          <t>SHELL</t>
        </is>
      </c>
      <c r="D199" s="0">
        <f>(SUMIF('2026-07-04'!F3:F96,'Rekap by Type'!C199,'2026-07-04'!L3:L96))</f>
        <v/>
      </c>
      <c r="E199" s="0">
        <f>(SUMIF('2026-07-04'!F3:F96,'Rekap by Type'!C199,'2026-07-04'!I3:I96))</f>
        <v/>
      </c>
      <c r="F199" s="0">
        <f>(SUMIF('2026-07-04'!F3:F96,'Rekap by Type'!C199,'2026-07-04'!J3:J96))</f>
        <v/>
      </c>
      <c r="G199" s="0">
        <f>ROUND(F199/1.11,0)</f>
        <v/>
      </c>
    </row>
    <row r="200" spans="1:7">
      <c r="A200" s="0" t="inlineStr">
        <is>
          <t>SUHY</t>
        </is>
      </c>
      <c r="B200" s="0" t="inlineStr">
        <is>
          <t>MMCVS</t>
        </is>
      </c>
      <c r="C200" s="0" t="inlineStr">
        <is>
          <t>S-MART</t>
        </is>
      </c>
      <c r="D200" s="0">
        <f>(SUMIF('2026-07-04'!F3:F96,'Rekap by Type'!C200,'2026-07-04'!L3:L96))</f>
        <v/>
      </c>
      <c r="E200" s="0">
        <f>(SUMIF('2026-07-04'!F3:F96,'Rekap by Type'!C200,'2026-07-04'!I3:I96))</f>
        <v/>
      </c>
      <c r="F200" s="0">
        <f>(SUMIF('2026-07-04'!F3:F96,'Rekap by Type'!C200,'2026-07-04'!J3:J96))</f>
        <v/>
      </c>
      <c r="G200" s="0">
        <f>ROUND(F200/1.11,0)</f>
        <v/>
      </c>
    </row>
    <row r="201" spans="1:7">
      <c r="A201" s="0" t="inlineStr">
        <is>
          <t>SUHY</t>
        </is>
      </c>
      <c r="B201" s="0" t="inlineStr">
        <is>
          <t>MMCVS</t>
        </is>
      </c>
      <c r="C201" s="0" t="inlineStr">
        <is>
          <t>YOMART GRIYAMART</t>
        </is>
      </c>
      <c r="D201" s="0">
        <f>(SUMIF('2026-07-04'!F3:F96,'Rekap by Type'!C201,'2026-07-04'!L3:L96))</f>
        <v/>
      </c>
      <c r="E201" s="0">
        <f>(SUMIF('2026-07-04'!F3:F96,'Rekap by Type'!C201,'2026-07-04'!I3:I96))</f>
        <v/>
      </c>
      <c r="F201" s="0">
        <f>(SUMIF('2026-07-04'!F3:F96,'Rekap by Type'!C201,'2026-07-04'!J3:J96))</f>
        <v/>
      </c>
      <c r="G201" s="0">
        <f>ROUND(F201/1.11,0)</f>
        <v/>
      </c>
    </row>
    <row r="202" spans="1:7">
      <c r="A202" s="0" t="inlineStr">
        <is>
          <t>SUHY</t>
        </is>
      </c>
      <c r="B202" s="0" t="inlineStr">
        <is>
          <t>MMCVS</t>
        </is>
      </c>
      <c r="C202" s="0" t="inlineStr">
        <is>
          <t>ISANA MART</t>
        </is>
      </c>
      <c r="D202" s="0">
        <f>(SUMIF('2026-07-04'!F3:F96,'Rekap by Type'!C202,'2026-07-04'!L3:L96))</f>
        <v/>
      </c>
      <c r="E202" s="0">
        <f>(SUMIF('2026-07-04'!F3:F96,'Rekap by Type'!C202,'2026-07-04'!I3:I96))</f>
        <v/>
      </c>
      <c r="F202" s="0">
        <f>(SUMIF('2026-07-04'!F3:F96,'Rekap by Type'!C202,'2026-07-04'!J3:J96))</f>
        <v/>
      </c>
      <c r="G202" s="0">
        <f>ROUND(F202/1.11,0)</f>
        <v/>
      </c>
    </row>
    <row r="203" spans="1:7">
      <c r="A203" s="0" t="inlineStr">
        <is>
          <t>SUHY</t>
        </is>
      </c>
      <c r="B203" s="0" t="inlineStr">
        <is>
          <t>NKA</t>
        </is>
      </c>
      <c r="C203" s="0" t="inlineStr">
        <is>
          <t>LOTTEMART</t>
        </is>
      </c>
      <c r="D203" s="0">
        <f>(SUMIF('2026-07-04'!F3:F96,'Rekap by Type'!C203,'2026-07-04'!L3:L96))</f>
        <v/>
      </c>
      <c r="E203" s="0">
        <f>(SUMIF('2026-07-04'!F3:F96,'Rekap by Type'!C203,'2026-07-04'!I3:I96))</f>
        <v/>
      </c>
      <c r="F203" s="0">
        <f>(SUMIF('2026-07-04'!F3:F96,'Rekap by Type'!C203,'2026-07-04'!J3:J96))</f>
        <v/>
      </c>
      <c r="G203" s="0">
        <f>ROUND(F203/1.11,0)</f>
        <v/>
      </c>
    </row>
    <row r="204" spans="1:7">
      <c r="A204" s="0" t="inlineStr">
        <is>
          <t>LSL Store</t>
        </is>
      </c>
      <c r="B204" s="0" t="inlineStr">
        <is>
          <t>(LSL)MODERN TRADE-GROUP</t>
        </is>
      </c>
      <c r="C204" s="0" t="inlineStr">
        <is>
          <t>(LSL)SUPERMARKET-GROUP</t>
        </is>
      </c>
      <c r="D204" s="0">
        <f>(SUMIF('2026-07-04'!F3:F96,'Rekap by Type'!C204,'2026-07-04'!L3:L96))</f>
        <v/>
      </c>
      <c r="E204" s="0">
        <f>(SUMIF('2026-07-04'!F3:F96,'Rekap by Type'!C204,'2026-07-04'!I3:I96))</f>
        <v/>
      </c>
      <c r="F204" s="0">
        <f>(SUMIF('2026-07-04'!F3:F96,'Rekap by Type'!C204,'2026-07-04'!J3:J96))</f>
        <v/>
      </c>
      <c r="G204" s="0">
        <f>ROUND(F204/1.11,0)</f>
        <v/>
      </c>
    </row>
    <row r="205" spans="1:7">
      <c r="A205" s="0" t="inlineStr">
        <is>
          <t>LSL Store</t>
        </is>
      </c>
      <c r="B205" s="0" t="inlineStr">
        <is>
          <t>(LSL)MODERN TRADE-GROUP</t>
        </is>
      </c>
      <c r="C205" s="0" t="inlineStr">
        <is>
          <t>(LSL)MINIMARKET-GROUP</t>
        </is>
      </c>
      <c r="D205" s="0">
        <f>(SUMIF('2026-07-04'!F3:F96,'Rekap by Type'!C205,'2026-07-04'!L3:L96))</f>
        <v/>
      </c>
      <c r="E205" s="0">
        <f>(SUMIF('2026-07-04'!F3:F96,'Rekap by Type'!C205,'2026-07-04'!I3:I96))</f>
        <v/>
      </c>
      <c r="F205" s="0">
        <f>(SUMIF('2026-07-04'!F3:F96,'Rekap by Type'!C205,'2026-07-04'!J3:J96))</f>
        <v/>
      </c>
      <c r="G205" s="0">
        <f>ROUND(F205/1.11,0)</f>
        <v/>
      </c>
    </row>
    <row r="206" spans="1:7">
      <c r="A206" s="0" t="inlineStr">
        <is>
          <t>LSL Store</t>
        </is>
      </c>
      <c r="B206" s="0" t="inlineStr">
        <is>
          <t>(LSL)MODERN TRADE-GROUP</t>
        </is>
      </c>
      <c r="C206" s="0" t="inlineStr">
        <is>
          <t>(LSL)WHOLESALE-GROUP</t>
        </is>
      </c>
      <c r="D206" s="0">
        <f>(SUMIF('2026-07-04'!F3:F96,'Rekap by Type'!C206,'2026-07-04'!L3:L96))</f>
        <v/>
      </c>
      <c r="E206" s="0">
        <f>(SUMIF('2026-07-04'!F3:F96,'Rekap by Type'!C206,'2026-07-04'!I3:I96))</f>
        <v/>
      </c>
      <c r="F206" s="0">
        <f>(SUMIF('2026-07-04'!F3:F96,'Rekap by Type'!C206,'2026-07-04'!J3:J96))</f>
        <v/>
      </c>
      <c r="G206" s="0">
        <f>ROUND(F206/1.11,0)</f>
        <v/>
      </c>
    </row>
    <row r="207" spans="1:7">
      <c r="A207" s="0" t="inlineStr">
        <is>
          <t>LSL Store</t>
        </is>
      </c>
      <c r="B207" s="0" t="inlineStr">
        <is>
          <t>(LSL)MODERN TRADE-NONGROUP</t>
        </is>
      </c>
      <c r="C207" s="0" t="inlineStr">
        <is>
          <t>(LSL)SUPERMARKET</t>
        </is>
      </c>
      <c r="D207" s="0">
        <f>(SUMIF('2026-07-04'!F3:F96,'Rekap by Type'!C207,'2026-07-04'!L3:L96))</f>
        <v/>
      </c>
      <c r="E207" s="0">
        <f>(SUMIF('2026-07-04'!F3:F96,'Rekap by Type'!C207,'2026-07-04'!I3:I96))</f>
        <v/>
      </c>
      <c r="F207" s="0">
        <f>(SUMIF('2026-07-04'!F3:F96,'Rekap by Type'!C207,'2026-07-04'!J3:J96))</f>
        <v/>
      </c>
      <c r="G207" s="0">
        <f>ROUND(F207/1.11,0)</f>
        <v/>
      </c>
    </row>
    <row r="208" spans="1:7">
      <c r="A208" s="0" t="inlineStr">
        <is>
          <t>LSL Store</t>
        </is>
      </c>
      <c r="B208" s="0" t="inlineStr">
        <is>
          <t>(LSL)MODERN TRADE-NONGROUP</t>
        </is>
      </c>
      <c r="C208" s="0" t="inlineStr">
        <is>
          <t>(LSL)MINIMARKET</t>
        </is>
      </c>
      <c r="D208" s="0">
        <f>(SUMIF('2026-07-04'!F3:F96,'Rekap by Type'!C208,'2026-07-04'!L3:L96))</f>
        <v/>
      </c>
      <c r="E208" s="0">
        <f>(SUMIF('2026-07-04'!F3:F96,'Rekap by Type'!C208,'2026-07-04'!I3:I96))</f>
        <v/>
      </c>
      <c r="F208" s="0">
        <f>(SUMIF('2026-07-04'!F3:F96,'Rekap by Type'!C208,'2026-07-04'!J3:J96))</f>
        <v/>
      </c>
      <c r="G208" s="0">
        <f>ROUND(F208/1.11,0)</f>
        <v/>
      </c>
    </row>
    <row r="209" spans="1:7">
      <c r="A209" s="0" t="inlineStr">
        <is>
          <t>LSL Store</t>
        </is>
      </c>
      <c r="B209" s="0" t="inlineStr">
        <is>
          <t>(LSL)MODERN TRADE-NONGROUP</t>
        </is>
      </c>
      <c r="C209" s="0" t="inlineStr">
        <is>
          <t>(LSL)WHOLESALE</t>
        </is>
      </c>
      <c r="D209" s="0">
        <f>(SUMIF('2026-07-04'!F3:F96,'Rekap by Type'!C209,'2026-07-04'!L3:L96))</f>
        <v/>
      </c>
      <c r="E209" s="0">
        <f>(SUMIF('2026-07-04'!F3:F96,'Rekap by Type'!C209,'2026-07-04'!I3:I96))</f>
        <v/>
      </c>
      <c r="F209" s="0">
        <f>(SUMIF('2026-07-04'!F3:F96,'Rekap by Type'!C209,'2026-07-04'!J3:J96))</f>
        <v/>
      </c>
      <c r="G209" s="0">
        <f>ROUND(F209/1.11,0)</f>
        <v/>
      </c>
    </row>
    <row r="210" spans="1:7">
      <c r="A210" s="0" t="inlineStr">
        <is>
          <t>LSL Store</t>
        </is>
      </c>
      <c r="B210" s="0" t="inlineStr">
        <is>
          <t>(LSL)LAYANAN KESEHATAN</t>
        </is>
      </c>
      <c r="C210" s="0" t="inlineStr">
        <is>
          <t>(LSL)APOTEK</t>
        </is>
      </c>
      <c r="D210" s="0">
        <f>(SUMIF('2026-07-04'!F3:F96,'Rekap by Type'!C210,'2026-07-04'!L3:L96))</f>
        <v/>
      </c>
      <c r="E210" s="0">
        <f>(SUMIF('2026-07-04'!F3:F96,'Rekap by Type'!C210,'2026-07-04'!I3:I96))</f>
        <v/>
      </c>
      <c r="F210" s="0">
        <f>(SUMIF('2026-07-04'!F3:F96,'Rekap by Type'!C210,'2026-07-04'!J3:J96))</f>
        <v/>
      </c>
      <c r="G210" s="0">
        <f>ROUND(F210/1.11,0)</f>
        <v/>
      </c>
    </row>
    <row r="211" spans="1:7">
      <c r="A211" s="0" t="inlineStr">
        <is>
          <t>LSL Store</t>
        </is>
      </c>
      <c r="B211" s="0" t="inlineStr">
        <is>
          <t>(LSL)LAYANAN KESEHATAN</t>
        </is>
      </c>
      <c r="C211" s="0" t="inlineStr">
        <is>
          <t>(LSL)RUMAH SAKIT</t>
        </is>
      </c>
      <c r="D211" s="0">
        <f>(SUMIF('2026-07-04'!F3:F96,'Rekap by Type'!C211,'2026-07-04'!L3:L96))</f>
        <v/>
      </c>
      <c r="E211" s="0">
        <f>(SUMIF('2026-07-04'!F3:F96,'Rekap by Type'!C211,'2026-07-04'!I3:I96))</f>
        <v/>
      </c>
      <c r="F211" s="0">
        <f>(SUMIF('2026-07-04'!F3:F96,'Rekap by Type'!C211,'2026-07-04'!J3:J96))</f>
        <v/>
      </c>
      <c r="G211" s="0">
        <f>ROUND(F211/1.11,0)</f>
        <v/>
      </c>
    </row>
    <row r="212" spans="1:7">
      <c r="A212" s="0" t="inlineStr">
        <is>
          <t>LSL Store</t>
        </is>
      </c>
      <c r="B212" s="0" t="inlineStr">
        <is>
          <t>(LSL)WARUNG RETAIL</t>
        </is>
      </c>
      <c r="C212" s="0" t="inlineStr">
        <is>
          <t>(LSL)WARUNG-BESAR</t>
        </is>
      </c>
      <c r="D212" s="0">
        <f>(SUMIF('2026-07-04'!F3:F96,'Rekap by Type'!C212,'2026-07-04'!L3:L96))</f>
        <v/>
      </c>
      <c r="E212" s="0">
        <f>(SUMIF('2026-07-04'!F3:F96,'Rekap by Type'!C212,'2026-07-04'!I3:I96))</f>
        <v/>
      </c>
      <c r="F212" s="0">
        <f>(SUMIF('2026-07-04'!F3:F96,'Rekap by Type'!C212,'2026-07-04'!J3:J96))</f>
        <v/>
      </c>
      <c r="G212" s="0">
        <f>ROUND(F212/1.11,0)</f>
        <v/>
      </c>
    </row>
    <row r="213" spans="1:7">
      <c r="A213" s="0" t="inlineStr">
        <is>
          <t>LSL Store</t>
        </is>
      </c>
      <c r="B213" s="0" t="inlineStr">
        <is>
          <t>(LSL)WARUNG RETAIL</t>
        </is>
      </c>
      <c r="C213" s="0" t="inlineStr">
        <is>
          <t>(LSL)WARUNG-KECIL</t>
        </is>
      </c>
      <c r="D213" s="0">
        <f>(SUMIF('2026-07-04'!F3:F96,'Rekap by Type'!C213,'2026-07-04'!L3:L96))</f>
        <v/>
      </c>
      <c r="E213" s="0">
        <f>(SUMIF('2026-07-04'!F3:F96,'Rekap by Type'!C213,'2026-07-04'!I3:I96))</f>
        <v/>
      </c>
      <c r="F213" s="0">
        <f>(SUMIF('2026-07-04'!F3:F96,'Rekap by Type'!C213,'2026-07-04'!J3:J96))</f>
        <v/>
      </c>
      <c r="G213" s="0">
        <f>ROUND(F213/1.11,0)</f>
        <v/>
      </c>
    </row>
    <row r="214" spans="1:7">
      <c r="A214" s="0" t="inlineStr">
        <is>
          <t>LSL Store</t>
        </is>
      </c>
      <c r="B214" s="0" t="inlineStr">
        <is>
          <t>(LSL)WARUNG RETAIL</t>
        </is>
      </c>
      <c r="C214" s="0" t="inlineStr">
        <is>
          <t>(LSL)WARUNG-ROMBONG</t>
        </is>
      </c>
      <c r="D214" s="0">
        <f>(SUMIF('2026-07-04'!F3:F96,'Rekap by Type'!C214,'2026-07-04'!L3:L96))</f>
        <v/>
      </c>
      <c r="E214" s="0">
        <f>(SUMIF('2026-07-04'!F3:F96,'Rekap by Type'!C214,'2026-07-04'!I3:I96))</f>
        <v/>
      </c>
      <c r="F214" s="0">
        <f>(SUMIF('2026-07-04'!F3:F96,'Rekap by Type'!C214,'2026-07-04'!J3:J96))</f>
        <v/>
      </c>
      <c r="G214" s="0">
        <f>ROUND(F214/1.11,0)</f>
        <v/>
      </c>
    </row>
    <row r="215" spans="1:7">
      <c r="A215" s="0" t="inlineStr">
        <is>
          <t>LSL Store</t>
        </is>
      </c>
      <c r="B215" s="0" t="inlineStr">
        <is>
          <t>(LSL)WARUNG COMMUNITY</t>
        </is>
      </c>
      <c r="C215" s="0" t="inlineStr">
        <is>
          <t>(LSL)CHANNEL STRATEGIC</t>
        </is>
      </c>
      <c r="D215" s="0">
        <f>(SUMIF('2026-07-04'!F3:F96,'Rekap by Type'!C215,'2026-07-04'!L3:L96))</f>
        <v/>
      </c>
      <c r="E215" s="0">
        <f>(SUMIF('2026-07-04'!F3:F96,'Rekap by Type'!C215,'2026-07-04'!I3:I96))</f>
        <v/>
      </c>
      <c r="F215" s="0">
        <f>(SUMIF('2026-07-04'!F3:F96,'Rekap by Type'!C215,'2026-07-04'!J3:J96))</f>
        <v/>
      </c>
      <c r="G215" s="0">
        <f>ROUND(F215/1.11,0)</f>
        <v/>
      </c>
    </row>
    <row r="216" spans="1:7">
      <c r="A216" s="0" t="inlineStr">
        <is>
          <t>LSL Store</t>
        </is>
      </c>
      <c r="B216" s="0" t="inlineStr">
        <is>
          <t>(LSL)WARUNG COMMUNITY</t>
        </is>
      </c>
      <c r="C216" s="0" t="inlineStr">
        <is>
          <t>(LSL)SRC</t>
        </is>
      </c>
      <c r="D216" s="0">
        <f>(SUMIF('2026-07-04'!F3:F96,'Rekap by Type'!C216,'2026-07-04'!L3:L96))</f>
        <v/>
      </c>
      <c r="E216" s="0">
        <f>(SUMIF('2026-07-04'!F3:F96,'Rekap by Type'!C216,'2026-07-04'!I3:I96))</f>
        <v/>
      </c>
      <c r="F216" s="0">
        <f>(SUMIF('2026-07-04'!F3:F96,'Rekap by Type'!C216,'2026-07-04'!J3:J96))</f>
        <v/>
      </c>
      <c r="G216" s="0">
        <f>ROUND(F216/1.11,0)</f>
        <v/>
      </c>
    </row>
    <row r="217" spans="1:7">
      <c r="A217" s="0" t="inlineStr">
        <is>
          <t>LSL Store</t>
        </is>
      </c>
      <c r="B217" s="0" t="inlineStr">
        <is>
          <t>(LSL)WARUNG COMMUNITY</t>
        </is>
      </c>
      <c r="C217" s="0" t="inlineStr">
        <is>
          <t>(LSL)WARUNG MADURA</t>
        </is>
      </c>
      <c r="D217" s="0">
        <f>(SUMIF('2026-07-04'!F3:F96,'Rekap by Type'!C217,'2026-07-04'!L3:L96))</f>
        <v/>
      </c>
      <c r="E217" s="0">
        <f>(SUMIF('2026-07-04'!F3:F96,'Rekap by Type'!C217,'2026-07-04'!I3:I96))</f>
        <v/>
      </c>
      <c r="F217" s="0">
        <f>(SUMIF('2026-07-04'!F3:F96,'Rekap by Type'!C217,'2026-07-04'!J3:J96))</f>
        <v/>
      </c>
      <c r="G217" s="0">
        <f>ROUND(F217/1.11,0)</f>
        <v/>
      </c>
    </row>
    <row r="218" spans="1:7">
      <c r="A218" s="0" t="inlineStr">
        <is>
          <t>LSL Store</t>
        </is>
      </c>
      <c r="B218" s="0" t="inlineStr">
        <is>
          <t>(LSL)SEKOLAH</t>
        </is>
      </c>
      <c r="C218" s="0" t="inlineStr">
        <is>
          <t>(LSL)ELEMENTARY SCHOOL (TK/SD)</t>
        </is>
      </c>
      <c r="D218" s="0">
        <f>(SUMIF('2026-07-04'!F3:F96,'Rekap by Type'!C218,'2026-07-04'!L3:L96))</f>
        <v/>
      </c>
      <c r="E218" s="0">
        <f>(SUMIF('2026-07-04'!F3:F96,'Rekap by Type'!C218,'2026-07-04'!I3:I96))</f>
        <v/>
      </c>
      <c r="F218" s="0">
        <f>(SUMIF('2026-07-04'!F3:F96,'Rekap by Type'!C218,'2026-07-04'!J3:J96))</f>
        <v/>
      </c>
      <c r="G218" s="0">
        <f>ROUND(F218/1.11,0)</f>
        <v/>
      </c>
    </row>
    <row r="219" spans="1:7">
      <c r="A219" s="0" t="inlineStr">
        <is>
          <t>LSL Store</t>
        </is>
      </c>
      <c r="B219" s="0" t="inlineStr">
        <is>
          <t>(LSL)SEKOLAH</t>
        </is>
      </c>
      <c r="C219" s="0" t="inlineStr">
        <is>
          <t>(LSL)JUNIOR SCHOOL (SMP)</t>
        </is>
      </c>
      <c r="D219" s="0">
        <f>(SUMIF('2026-07-04'!F3:F96,'Rekap by Type'!C219,'2026-07-04'!L3:L96))</f>
        <v/>
      </c>
      <c r="E219" s="0">
        <f>(SUMIF('2026-07-04'!F3:F96,'Rekap by Type'!C219,'2026-07-04'!I3:I96))</f>
        <v/>
      </c>
      <c r="F219" s="0">
        <f>(SUMIF('2026-07-04'!F3:F96,'Rekap by Type'!C219,'2026-07-04'!J3:J96))</f>
        <v/>
      </c>
      <c r="G219" s="0">
        <f>ROUND(F219/1.11,0)</f>
        <v/>
      </c>
    </row>
    <row r="220" spans="1:7">
      <c r="A220" s="0" t="inlineStr">
        <is>
          <t>LSL Store</t>
        </is>
      </c>
      <c r="B220" s="0" t="inlineStr">
        <is>
          <t>(LSL)SEKOLAH</t>
        </is>
      </c>
      <c r="C220" s="0" t="inlineStr">
        <is>
          <t>(LSL)SENIOR SCHOOL (SMA/K)</t>
        </is>
      </c>
      <c r="D220" s="0">
        <f>(SUMIF('2026-07-04'!F3:F96,'Rekap by Type'!C220,'2026-07-04'!L3:L96))</f>
        <v/>
      </c>
      <c r="E220" s="0">
        <f>(SUMIF('2026-07-04'!F3:F96,'Rekap by Type'!C220,'2026-07-04'!I3:I96))</f>
        <v/>
      </c>
      <c r="F220" s="0">
        <f>(SUMIF('2026-07-04'!F3:F96,'Rekap by Type'!C220,'2026-07-04'!J3:J96))</f>
        <v/>
      </c>
      <c r="G220" s="0">
        <f>ROUND(F220/1.11,0)</f>
        <v/>
      </c>
    </row>
    <row r="221" spans="1:7">
      <c r="A221" s="0" t="inlineStr">
        <is>
          <t>LSL Store</t>
        </is>
      </c>
      <c r="B221" s="0" t="inlineStr">
        <is>
          <t>(LSL)SEKOLAH</t>
        </is>
      </c>
      <c r="C221" s="0" t="inlineStr">
        <is>
          <t>(LSL)UNIVERSITY</t>
        </is>
      </c>
      <c r="D221" s="0">
        <f>(SUMIF('2026-07-04'!F3:F96,'Rekap by Type'!C221,'2026-07-04'!L3:L96))</f>
        <v/>
      </c>
      <c r="E221" s="0">
        <f>(SUMIF('2026-07-04'!F3:F96,'Rekap by Type'!C221,'2026-07-04'!I3:I96))</f>
        <v/>
      </c>
      <c r="F221" s="0">
        <f>(SUMIF('2026-07-04'!F3:F96,'Rekap by Type'!C221,'2026-07-04'!J3:J96))</f>
        <v/>
      </c>
      <c r="G221" s="0">
        <f>ROUND(F221/1.11,0)</f>
        <v/>
      </c>
    </row>
    <row r="222" spans="1:7">
      <c r="A222" s="0" t="inlineStr">
        <is>
          <t>LSL Store</t>
        </is>
      </c>
      <c r="B222" s="0" t="inlineStr">
        <is>
          <t>(LSL)SEKOLAH</t>
        </is>
      </c>
      <c r="C222" s="0" t="inlineStr">
        <is>
          <t>(LSL)BOARDING SCHOOL</t>
        </is>
      </c>
      <c r="D222" s="0">
        <f>(SUMIF('2026-07-04'!F3:F96,'Rekap by Type'!C222,'2026-07-04'!L3:L96))</f>
        <v/>
      </c>
      <c r="E222" s="0">
        <f>(SUMIF('2026-07-04'!F3:F96,'Rekap by Type'!C222,'2026-07-04'!I3:I96))</f>
        <v/>
      </c>
      <c r="F222" s="0">
        <f>(SUMIF('2026-07-04'!F3:F96,'Rekap by Type'!C222,'2026-07-04'!J3:J96))</f>
        <v/>
      </c>
      <c r="G222" s="0">
        <f>ROUND(F222/1.11,0)</f>
        <v/>
      </c>
    </row>
    <row r="223" spans="1:7">
      <c r="A223" s="0" t="inlineStr">
        <is>
          <t>LSL Store</t>
        </is>
      </c>
      <c r="B223" s="0" t="inlineStr">
        <is>
          <t>(LSL)SEKOLAH</t>
        </is>
      </c>
      <c r="C223" s="0" t="inlineStr">
        <is>
          <t>(LSL)PRIMARY SCHOOL</t>
        </is>
      </c>
      <c r="D223" s="0">
        <f>(SUMIF('2026-07-04'!F3:F96,'Rekap by Type'!C223,'2026-07-04'!L3:L96))</f>
        <v/>
      </c>
      <c r="E223" s="0">
        <f>(SUMIF('2026-07-04'!F3:F96,'Rekap by Type'!C223,'2026-07-04'!I3:I96))</f>
        <v/>
      </c>
      <c r="F223" s="0">
        <f>(SUMIF('2026-07-04'!F3:F96,'Rekap by Type'!C223,'2026-07-04'!J3:J96))</f>
        <v/>
      </c>
      <c r="G223" s="0">
        <f>ROUND(F223/1.11,0)</f>
        <v/>
      </c>
    </row>
    <row r="224" spans="1:7">
      <c r="A224" s="0" t="inlineStr">
        <is>
          <t>LSL Store</t>
        </is>
      </c>
      <c r="B224" s="0" t="inlineStr">
        <is>
          <t>(LSL)INSTITUSI</t>
        </is>
      </c>
      <c r="C224" s="0" t="inlineStr">
        <is>
          <t>(LSL)FACTORY</t>
        </is>
      </c>
      <c r="D224" s="0">
        <f>(SUMIF('2026-07-04'!F3:F96,'Rekap by Type'!C224,'2026-07-04'!L3:L96))</f>
        <v/>
      </c>
      <c r="E224" s="0">
        <f>(SUMIF('2026-07-04'!F3:F96,'Rekap by Type'!C224,'2026-07-04'!I3:I96))</f>
        <v/>
      </c>
      <c r="F224" s="0">
        <f>(SUMIF('2026-07-04'!F3:F96,'Rekap by Type'!C224,'2026-07-04'!J3:J96))</f>
        <v/>
      </c>
      <c r="G224" s="0">
        <f>ROUND(F224/1.11,0)</f>
        <v/>
      </c>
    </row>
    <row r="225" spans="1:7">
      <c r="A225" s="0" t="inlineStr">
        <is>
          <t>LSL Store</t>
        </is>
      </c>
      <c r="B225" s="0" t="inlineStr">
        <is>
          <t>(LSL)INSTITUSI</t>
        </is>
      </c>
      <c r="C225" s="0" t="inlineStr">
        <is>
          <t>(LSL)HORECA</t>
        </is>
      </c>
      <c r="D225" s="0">
        <f>(SUMIF('2026-07-04'!F3:F96,'Rekap by Type'!C225,'2026-07-04'!L3:L96))</f>
        <v/>
      </c>
      <c r="E225" s="0">
        <f>(SUMIF('2026-07-04'!F3:F96,'Rekap by Type'!C225,'2026-07-04'!I3:I96))</f>
        <v/>
      </c>
      <c r="F225" s="0">
        <f>(SUMIF('2026-07-04'!F3:F96,'Rekap by Type'!C225,'2026-07-04'!J3:J96))</f>
        <v/>
      </c>
      <c r="G225" s="0">
        <f>ROUND(F225/1.11,0)</f>
        <v/>
      </c>
    </row>
    <row r="226" spans="1:7">
      <c r="A226" s="0" t="inlineStr">
        <is>
          <t>LSL Store</t>
        </is>
      </c>
      <c r="B226" s="0" t="inlineStr">
        <is>
          <t>(LSL)DTC-MANDIRI</t>
        </is>
      </c>
      <c r="C226" s="0" t="inlineStr">
        <is>
          <t>(LSL)SAHABAT UENAK</t>
        </is>
      </c>
      <c r="D226" s="0">
        <f>(SUMIF('2026-07-04'!F3:F96,'Rekap by Type'!C226,'2026-07-04'!L3:L96))</f>
        <v/>
      </c>
      <c r="E226" s="0">
        <f>(SUMIF('2026-07-04'!F3:F96,'Rekap by Type'!C226,'2026-07-04'!I3:I96))</f>
        <v/>
      </c>
      <c r="F226" s="0">
        <f>(SUMIF('2026-07-04'!F3:F96,'Rekap by Type'!C226,'2026-07-04'!J3:J96))</f>
        <v/>
      </c>
      <c r="G226" s="0">
        <f>ROUND(F226/1.11,0)</f>
        <v/>
      </c>
    </row>
    <row r="227" spans="1:7">
      <c r="A227" s="0" t="inlineStr">
        <is>
          <t>LSL Store</t>
        </is>
      </c>
      <c r="B227" s="0" t="inlineStr">
        <is>
          <t>(LSL)DTC-MANDIRI</t>
        </is>
      </c>
      <c r="C227" s="0" t="inlineStr">
        <is>
          <t>(LSL)MITRA-DIRECT SELLING</t>
        </is>
      </c>
      <c r="D227" s="0">
        <f>(SUMIF('2026-07-04'!F3:F96,'Rekap by Type'!C227,'2026-07-04'!L3:L96))</f>
        <v/>
      </c>
      <c r="E227" s="0">
        <f>(SUMIF('2026-07-04'!F3:F96,'Rekap by Type'!C227,'2026-07-04'!I3:I96))</f>
        <v/>
      </c>
      <c r="F227" s="0">
        <f>(SUMIF('2026-07-04'!F3:F96,'Rekap by Type'!C227,'2026-07-04'!J3:J96))</f>
        <v/>
      </c>
      <c r="G227" s="0">
        <f>ROUND(F227/1.11,0)</f>
        <v/>
      </c>
    </row>
    <row r="228" spans="1:7">
      <c r="A228" s="0" t="inlineStr">
        <is>
          <t>LSL Store</t>
        </is>
      </c>
      <c r="B228" s="0" t="inlineStr">
        <is>
          <t>(LSL)DTC-MANDIRI</t>
        </is>
      </c>
      <c r="C228" s="0" t="inlineStr">
        <is>
          <t>(LSL)PENJUALAN CASH</t>
        </is>
      </c>
      <c r="D228" s="0">
        <f>(SUMIF('2026-07-04'!F3:F96,'Rekap by Type'!C228,'2026-07-04'!L3:L96))</f>
        <v/>
      </c>
      <c r="E228" s="0">
        <f>(SUMIF('2026-07-04'!F3:F96,'Rekap by Type'!C228,'2026-07-04'!I3:I96))</f>
        <v/>
      </c>
      <c r="F228" s="0">
        <f>(SUMIF('2026-07-04'!F3:F96,'Rekap by Type'!C228,'2026-07-04'!J3:J96))</f>
        <v/>
      </c>
      <c r="G228" s="0">
        <f>ROUND(F228/1.11,0)</f>
        <v/>
      </c>
    </row>
    <row r="229" spans="1:7">
      <c r="A229" s="0" t="inlineStr">
        <is>
          <t>LSL Store</t>
        </is>
      </c>
      <c r="B229" s="0" t="inlineStr">
        <is>
          <t>(LSL)DTC-GROUP</t>
        </is>
      </c>
      <c r="C229" s="0" t="inlineStr">
        <is>
          <t>(LSL)ONLINE STORE</t>
        </is>
      </c>
      <c r="D229" s="0">
        <f>(SUMIF('2026-07-04'!F3:F96,'Rekap by Type'!C229,'2026-07-04'!L3:L96))</f>
        <v/>
      </c>
      <c r="E229" s="0">
        <f>(SUMIF('2026-07-04'!F3:F96,'Rekap by Type'!C229,'2026-07-04'!I3:I96))</f>
        <v/>
      </c>
      <c r="F229" s="0">
        <f>(SUMIF('2026-07-04'!F3:F96,'Rekap by Type'!C229,'2026-07-04'!J3:J96))</f>
        <v/>
      </c>
      <c r="G229" s="0">
        <f>ROUND(F229/1.11,0)</f>
        <v/>
      </c>
    </row>
    <row r="230" spans="1:7">
      <c r="A230" s="0" t="inlineStr">
        <is>
          <t>LSL Store</t>
        </is>
      </c>
      <c r="B230" s="0" t="inlineStr">
        <is>
          <t>(LSL)DTC-GROUP</t>
        </is>
      </c>
      <c r="C230" s="0" t="inlineStr">
        <is>
          <t>(LSL)KOMUNITAS</t>
        </is>
      </c>
      <c r="D230" s="0">
        <f>(SUMIF('2026-07-04'!F3:F96,'Rekap by Type'!C230,'2026-07-04'!L3:L96))</f>
        <v/>
      </c>
      <c r="E230" s="0">
        <f>(SUMIF('2026-07-04'!F3:F96,'Rekap by Type'!C230,'2026-07-04'!I3:I96))</f>
        <v/>
      </c>
      <c r="F230" s="0">
        <f>(SUMIF('2026-07-04'!F3:F96,'Rekap by Type'!C230,'2026-07-04'!J3:J96))</f>
        <v/>
      </c>
      <c r="G230" s="0">
        <f>ROUND(F230/1.11,0)</f>
        <v/>
      </c>
    </row>
    <row r="231" spans="1:7">
      <c r="A231" s="0" t="inlineStr">
        <is>
          <t>LSL Store</t>
        </is>
      </c>
      <c r="B231" s="0" t="inlineStr">
        <is>
          <t>(LSL)DTC-GROUP</t>
        </is>
      </c>
      <c r="C231" s="0" t="inlineStr">
        <is>
          <t>(LSL)KEWIRAUSAHAAN</t>
        </is>
      </c>
      <c r="D231" s="0">
        <f>(SUMIF('2026-07-04'!F3:F96,'Rekap by Type'!C231,'2026-07-04'!L3:L96))</f>
        <v/>
      </c>
      <c r="E231" s="0">
        <f>(SUMIF('2026-07-04'!F3:F96,'Rekap by Type'!C231,'2026-07-04'!I3:I96))</f>
        <v/>
      </c>
      <c r="F231" s="0">
        <f>(SUMIF('2026-07-04'!F3:F96,'Rekap by Type'!C231,'2026-07-04'!J3:J96))</f>
        <v/>
      </c>
      <c r="G231" s="0">
        <f>ROUND(F231/1.11,0)</f>
        <v/>
      </c>
    </row>
    <row r="232" spans="1:7">
      <c r="A232" s="0" t="inlineStr">
        <is>
          <t>LSL Store</t>
        </is>
      </c>
      <c r="B232" s="0" t="inlineStr">
        <is>
          <t>(LSL)GROSIR-LSL</t>
        </is>
      </c>
      <c r="C232" s="0" t="inlineStr">
        <is>
          <t>(LSL)SEMI GROSIR</t>
        </is>
      </c>
      <c r="D232" s="0">
        <f>(SUMIF('2026-07-04'!F3:F96,'Rekap by Type'!C232,'2026-07-04'!L3:L96))</f>
        <v/>
      </c>
      <c r="E232" s="0">
        <f>(SUMIF('2026-07-04'!F3:F96,'Rekap by Type'!C232,'2026-07-04'!I3:I96))</f>
        <v/>
      </c>
      <c r="F232" s="0">
        <f>(SUMIF('2026-07-04'!F3:F96,'Rekap by Type'!C232,'2026-07-04'!J3:J96))</f>
        <v/>
      </c>
      <c r="G232" s="0">
        <f>ROUND(F232/1.11,0)</f>
        <v/>
      </c>
    </row>
    <row r="233" spans="1:7">
      <c r="A233" s="0" t="inlineStr">
        <is>
          <t>LSL Store</t>
        </is>
      </c>
      <c r="B233" s="0" t="inlineStr">
        <is>
          <t>(LSL)GROSIR-LSL</t>
        </is>
      </c>
      <c r="C233" s="0" t="inlineStr">
        <is>
          <t>(LSL)BIG GROSIR</t>
        </is>
      </c>
      <c r="D233" s="0">
        <f>(SUMIF('2026-07-04'!F3:F96,'Rekap by Type'!C233,'2026-07-04'!L3:L96))</f>
        <v/>
      </c>
      <c r="E233" s="0">
        <f>(SUMIF('2026-07-04'!F3:F96,'Rekap by Type'!C233,'2026-07-04'!I3:I96))</f>
        <v/>
      </c>
      <c r="F233" s="0">
        <f>(SUMIF('2026-07-04'!F3:F96,'Rekap by Type'!C233,'2026-07-04'!J3:J96))</f>
        <v/>
      </c>
      <c r="G233" s="0">
        <f>ROUND(F233/1.11,0)</f>
        <v/>
      </c>
    </row>
    <row r="234" spans="1:7">
      <c r="A234" s="0" t="inlineStr">
        <is>
          <t>LSL Store</t>
        </is>
      </c>
      <c r="B234" s="0" t="inlineStr">
        <is>
          <t>(LSL)GROSIR-ACTIVE</t>
        </is>
      </c>
      <c r="C234" s="0" t="inlineStr">
        <is>
          <t>(LSL)STAR OUTLET</t>
        </is>
      </c>
      <c r="D234" s="0">
        <f>(SUMIF('2026-07-04'!F3:F96,'Rekap by Type'!C234,'2026-07-04'!L3:L96))</f>
        <v/>
      </c>
      <c r="E234" s="0">
        <f>(SUMIF('2026-07-04'!F3:F96,'Rekap by Type'!C234,'2026-07-04'!I3:I96))</f>
        <v/>
      </c>
      <c r="F234" s="0">
        <f>(SUMIF('2026-07-04'!F3:F96,'Rekap by Type'!C234,'2026-07-04'!J3:J96))</f>
        <v/>
      </c>
      <c r="G234" s="0">
        <f>ROUND(F234/1.11,0)</f>
        <v/>
      </c>
    </row>
    <row r="235" spans="1:7">
      <c r="A235" s="0" t="inlineStr">
        <is>
          <t>LSL Store</t>
        </is>
      </c>
      <c r="B235" s="0" t="inlineStr">
        <is>
          <t>(LSL)GROSIR-ACTIVE</t>
        </is>
      </c>
      <c r="C235" s="0" t="inlineStr">
        <is>
          <t>(LSL)MITRA-DISTRIBUTOR</t>
        </is>
      </c>
      <c r="D235" s="0">
        <f>(SUMIF('2026-07-04'!F3:F96,'Rekap by Type'!C235,'2026-07-04'!L3:L96))</f>
        <v/>
      </c>
      <c r="E235" s="0">
        <f>(SUMIF('2026-07-04'!F3:F96,'Rekap by Type'!C235,'2026-07-04'!I3:I96))</f>
        <v/>
      </c>
      <c r="F235" s="0">
        <f>(SUMIF('2026-07-04'!F3:F96,'Rekap by Type'!C235,'2026-07-04'!J3:J96))</f>
        <v/>
      </c>
      <c r="G235" s="0">
        <f>ROUND(F235/1.11,0)</f>
        <v/>
      </c>
    </row>
    <row r="236" spans="1:7">
      <c r="A236" s="0" t="inlineStr">
        <is>
          <t>e-Trade</t>
        </is>
      </c>
      <c r="B236" s="0" t="inlineStr">
        <is>
          <t>E-COMMERCE</t>
        </is>
      </c>
      <c r="C236" s="0" t="inlineStr">
        <is>
          <t>GOJEK</t>
        </is>
      </c>
      <c r="D236" s="0">
        <f>(SUMIF('2026-07-04'!F3:F96,'Rekap by Type'!C236,'2026-07-04'!L3:L96))</f>
        <v/>
      </c>
      <c r="E236" s="0">
        <f>(SUMIF('2026-07-04'!F3:F96,'Rekap by Type'!C236,'2026-07-04'!I3:I96))</f>
        <v/>
      </c>
      <c r="F236" s="0">
        <f>(SUMIF('2026-07-04'!F3:F96,'Rekap by Type'!C236,'2026-07-04'!J3:J96))</f>
        <v/>
      </c>
      <c r="G236" s="0">
        <f>ROUND(F236/1.11,0)</f>
        <v/>
      </c>
    </row>
    <row r="237" spans="1:7">
      <c r="A237" s="0" t="inlineStr">
        <is>
          <t>SUHY</t>
        </is>
      </c>
      <c r="B237" s="0" t="inlineStr">
        <is>
          <t>LKA</t>
        </is>
      </c>
      <c r="C237" s="0" t="inlineStr">
        <is>
          <t>SINAR MAKMUR</t>
        </is>
      </c>
      <c r="D237" s="0">
        <f>(SUMIF('2026-07-04'!F3:F96,'Rekap by Type'!C237,'2026-07-04'!L3:L96))</f>
        <v/>
      </c>
      <c r="E237" s="0">
        <f>(SUMIF('2026-07-04'!F3:F96,'Rekap by Type'!C237,'2026-07-04'!I3:I96))</f>
        <v/>
      </c>
      <c r="F237" s="0">
        <f>(SUMIF('2026-07-04'!F3:F96,'Rekap by Type'!C237,'2026-07-04'!J3:J96))</f>
        <v/>
      </c>
      <c r="G237" s="0">
        <f>ROUND(F237/1.11,0)</f>
        <v/>
      </c>
    </row>
    <row r="238" spans="1:7">
      <c r="A238" s="0" t="inlineStr">
        <is>
          <t>SUHY</t>
        </is>
      </c>
      <c r="B238" s="0" t="inlineStr">
        <is>
          <t>LKA</t>
        </is>
      </c>
      <c r="C238" s="0" t="inlineStr">
        <is>
          <t>CENTRAL SWALAYAN</t>
        </is>
      </c>
      <c r="D238" s="0">
        <f>(SUMIF('2026-07-04'!F3:F96,'Rekap by Type'!C238,'2026-07-04'!L3:L96))</f>
        <v/>
      </c>
      <c r="E238" s="0">
        <f>(SUMIF('2026-07-04'!F3:F96,'Rekap by Type'!C238,'2026-07-04'!I3:I96))</f>
        <v/>
      </c>
      <c r="F238" s="0">
        <f>(SUMIF('2026-07-04'!F3:F96,'Rekap by Type'!C238,'2026-07-04'!J3:J96))</f>
        <v/>
      </c>
      <c r="G238" s="0">
        <f>ROUND(F238/1.11,0)</f>
        <v/>
      </c>
    </row>
    <row r="239" spans="1:7">
      <c r="A239" s="0" t="inlineStr">
        <is>
          <t>SUHY</t>
        </is>
      </c>
      <c r="B239" s="0" t="inlineStr">
        <is>
          <t>LKA</t>
        </is>
      </c>
      <c r="C239" s="0" t="inlineStr">
        <is>
          <t>BRAVO</t>
        </is>
      </c>
      <c r="D239" s="0">
        <f>(SUMIF('2026-07-04'!F3:F96,'Rekap by Type'!C239,'2026-07-04'!L3:L96))</f>
        <v/>
      </c>
      <c r="E239" s="0">
        <f>(SUMIF('2026-07-04'!F3:F96,'Rekap by Type'!C239,'2026-07-04'!I3:I96))</f>
        <v/>
      </c>
      <c r="F239" s="0">
        <f>(SUMIF('2026-07-04'!F3:F96,'Rekap by Type'!C239,'2026-07-04'!J3:J96))</f>
        <v/>
      </c>
      <c r="G239" s="0">
        <f>ROUND(F239/1.11,0)</f>
        <v/>
      </c>
    </row>
    <row r="240" spans="1:7">
      <c r="A240" s="0" t="inlineStr">
        <is>
          <t>SUHY</t>
        </is>
      </c>
      <c r="B240" s="0" t="inlineStr">
        <is>
          <t>LKA</t>
        </is>
      </c>
      <c r="C240" s="0" t="inlineStr">
        <is>
          <t>GOLDEN</t>
        </is>
      </c>
      <c r="D240" s="0">
        <f>(SUMIF('2026-07-04'!F3:F96,'Rekap by Type'!C240,'2026-07-04'!L3:L96))</f>
        <v/>
      </c>
      <c r="E240" s="0">
        <f>(SUMIF('2026-07-04'!F3:F96,'Rekap by Type'!C240,'2026-07-04'!I3:I96))</f>
        <v/>
      </c>
      <c r="F240" s="0">
        <f>(SUMIF('2026-07-04'!F3:F96,'Rekap by Type'!C240,'2026-07-04'!J3:J96))</f>
        <v/>
      </c>
      <c r="G240" s="0">
        <f>ROUND(F240/1.11,0)</f>
        <v/>
      </c>
    </row>
    <row r="241" spans="1:7">
      <c r="A241" s="0" t="inlineStr">
        <is>
          <t>SUHY</t>
        </is>
      </c>
      <c r="B241" s="0" t="inlineStr">
        <is>
          <t>LKA</t>
        </is>
      </c>
      <c r="C241" s="0" t="inlineStr">
        <is>
          <t>BELGA</t>
        </is>
      </c>
      <c r="D241" s="0">
        <f>(SUMIF('2026-07-04'!F3:F96,'Rekap by Type'!C241,'2026-07-04'!L3:L96))</f>
        <v/>
      </c>
      <c r="E241" s="0">
        <f>(SUMIF('2026-07-04'!F3:F96,'Rekap by Type'!C241,'2026-07-04'!I3:I96))</f>
        <v/>
      </c>
      <c r="F241" s="0">
        <f>(SUMIF('2026-07-04'!F3:F96,'Rekap by Type'!C241,'2026-07-04'!J3:J96))</f>
        <v/>
      </c>
      <c r="G241" s="0">
        <f>ROUND(F241/1.11,0)</f>
        <v/>
      </c>
    </row>
    <row r="242" spans="1:7">
      <c r="A242" s="0" t="inlineStr">
        <is>
          <t>SUHY</t>
        </is>
      </c>
      <c r="B242" s="0" t="inlineStr">
        <is>
          <t>LKA</t>
        </is>
      </c>
      <c r="C242" s="0" t="inlineStr">
        <is>
          <t>TANOSHI</t>
        </is>
      </c>
      <c r="D242" s="0">
        <f>(SUMIF('2026-07-04'!F3:F96,'Rekap by Type'!C242,'2026-07-04'!L3:L96))</f>
        <v/>
      </c>
      <c r="E242" s="0">
        <f>(SUMIF('2026-07-04'!F3:F96,'Rekap by Type'!C242,'2026-07-04'!I3:I96))</f>
        <v/>
      </c>
      <c r="F242" s="0">
        <f>(SUMIF('2026-07-04'!F3:F96,'Rekap by Type'!C242,'2026-07-04'!J3:J96))</f>
        <v/>
      </c>
      <c r="G242" s="0">
        <f>ROUND(F242/1.11,0)</f>
        <v/>
      </c>
    </row>
    <row r="243" spans="1:7">
      <c r="A243" s="0" t="inlineStr">
        <is>
          <t>SUHY</t>
        </is>
      </c>
      <c r="B243" s="0" t="inlineStr">
        <is>
          <t>LKA</t>
        </is>
      </c>
      <c r="C243" s="0" t="inlineStr">
        <is>
          <t>GRAHA MULIA PLAZA</t>
        </is>
      </c>
      <c r="D243" s="0">
        <f>(SUMIF('2026-07-04'!F3:F96,'Rekap by Type'!C243,'2026-07-04'!L3:L96))</f>
        <v/>
      </c>
      <c r="E243" s="0">
        <f>(SUMIF('2026-07-04'!F3:F96,'Rekap by Type'!C243,'2026-07-04'!I3:I96))</f>
        <v/>
      </c>
      <c r="F243" s="0">
        <f>(SUMIF('2026-07-04'!F3:F96,'Rekap by Type'!C243,'2026-07-04'!J3:J96))</f>
        <v/>
      </c>
      <c r="G243" s="0">
        <f>ROUND(F243/1.11,0)</f>
        <v/>
      </c>
    </row>
    <row r="244" spans="1:7">
      <c r="A244" s="0" t="inlineStr">
        <is>
          <t>SUHY</t>
        </is>
      </c>
      <c r="B244" s="0" t="inlineStr">
        <is>
          <t>LKA</t>
        </is>
      </c>
      <c r="C244" s="0" t="inlineStr">
        <is>
          <t>KKMT LUMAJANG</t>
        </is>
      </c>
      <c r="D244" s="0">
        <f>(SUMIF('2026-07-04'!F3:F96,'Rekap by Type'!C244,'2026-07-04'!L3:L96))</f>
        <v/>
      </c>
      <c r="E244" s="0">
        <f>(SUMIF('2026-07-04'!F3:F96,'Rekap by Type'!C244,'2026-07-04'!I3:I96))</f>
        <v/>
      </c>
      <c r="F244" s="0">
        <f>(SUMIF('2026-07-04'!F3:F96,'Rekap by Type'!C244,'2026-07-04'!J3:J96))</f>
        <v/>
      </c>
      <c r="G244" s="0">
        <f>ROUND(F244/1.11,0)</f>
        <v/>
      </c>
    </row>
    <row r="245" spans="1:7">
      <c r="A245" s="0" t="inlineStr">
        <is>
          <t>SUHY</t>
        </is>
      </c>
      <c r="B245" s="0" t="inlineStr">
        <is>
          <t>LKA</t>
        </is>
      </c>
      <c r="C245" s="0" t="inlineStr">
        <is>
          <t>SK MART LUMAJANG</t>
        </is>
      </c>
      <c r="D245" s="0">
        <f>(SUMIF('2026-07-04'!F3:F96,'Rekap by Type'!C245,'2026-07-04'!L3:L96))</f>
        <v/>
      </c>
      <c r="E245" s="0">
        <f>(SUMIF('2026-07-04'!F3:F96,'Rekap by Type'!C245,'2026-07-04'!I3:I96))</f>
        <v/>
      </c>
      <c r="F245" s="0">
        <f>(SUMIF('2026-07-04'!F3:F96,'Rekap by Type'!C245,'2026-07-04'!J3:J96))</f>
        <v/>
      </c>
      <c r="G245" s="0">
        <f>ROUND(F245/1.11,0)</f>
        <v/>
      </c>
    </row>
    <row r="246" spans="1:7">
      <c r="A246" s="0" t="inlineStr">
        <is>
          <t>SUHY</t>
        </is>
      </c>
      <c r="B246" s="0" t="inlineStr">
        <is>
          <t>LKA</t>
        </is>
      </c>
      <c r="C246" s="0" t="inlineStr">
        <is>
          <t>SAKINAH GROUP</t>
        </is>
      </c>
      <c r="D246" s="0">
        <f>(SUMIF('2026-07-04'!F3:F96,'Rekap by Type'!C246,'2026-07-04'!L3:L96))</f>
        <v/>
      </c>
      <c r="E246" s="0">
        <f>(SUMIF('2026-07-04'!F3:F96,'Rekap by Type'!C246,'2026-07-04'!I3:I96))</f>
        <v/>
      </c>
      <c r="F246" s="0">
        <f>(SUMIF('2026-07-04'!F3:F96,'Rekap by Type'!C246,'2026-07-04'!J3:J96))</f>
        <v/>
      </c>
      <c r="G246" s="0">
        <f>ROUND(F246/1.11,0)</f>
        <v/>
      </c>
    </row>
    <row r="247" spans="1:7">
      <c r="A247" s="0" t="inlineStr">
        <is>
          <t>SUHY</t>
        </is>
      </c>
      <c r="B247" s="0" t="inlineStr">
        <is>
          <t>LKA</t>
        </is>
      </c>
      <c r="C247" s="0" t="inlineStr">
        <is>
          <t>GREENSMART GROUP</t>
        </is>
      </c>
      <c r="D247" s="0">
        <f>(SUMIF('2026-07-04'!F3:F96,'Rekap by Type'!C247,'2026-07-04'!L3:L96))</f>
        <v/>
      </c>
      <c r="E247" s="0">
        <f>(SUMIF('2026-07-04'!F3:F96,'Rekap by Type'!C247,'2026-07-04'!I3:I96))</f>
        <v/>
      </c>
      <c r="F247" s="0">
        <f>(SUMIF('2026-07-04'!F3:F96,'Rekap by Type'!C247,'2026-07-04'!J3:J96))</f>
        <v/>
      </c>
      <c r="G247" s="0">
        <f>ROUND(F247/1.11,0)</f>
        <v/>
      </c>
    </row>
    <row r="248" spans="1:7">
      <c r="A248" s="0" t="inlineStr">
        <is>
          <t>SUHY</t>
        </is>
      </c>
      <c r="B248" s="0" t="inlineStr">
        <is>
          <t>LKA</t>
        </is>
      </c>
      <c r="C248" s="0" t="inlineStr">
        <is>
          <t>78 MAJU MAPAN GROUP</t>
        </is>
      </c>
      <c r="D248" s="0">
        <f>(SUMIF('2026-07-04'!F3:F96,'Rekap by Type'!C248,'2026-07-04'!L3:L96))</f>
        <v/>
      </c>
      <c r="E248" s="0">
        <f>(SUMIF('2026-07-04'!F3:F96,'Rekap by Type'!C248,'2026-07-04'!I3:I96))</f>
        <v/>
      </c>
      <c r="F248" s="0">
        <f>(SUMIF('2026-07-04'!F3:F96,'Rekap by Type'!C248,'2026-07-04'!J3:J96))</f>
        <v/>
      </c>
      <c r="G248" s="0">
        <f>ROUND(F248/1.11,0)</f>
        <v/>
      </c>
    </row>
    <row r="249" spans="1:7">
      <c r="A249" s="0" t="inlineStr">
        <is>
          <t>SUHY</t>
        </is>
      </c>
      <c r="B249" s="0" t="inlineStr">
        <is>
          <t>LKA</t>
        </is>
      </c>
      <c r="C249" s="0" t="inlineStr">
        <is>
          <t>RIA</t>
        </is>
      </c>
      <c r="D249" s="0">
        <f>(SUMIF('2026-07-04'!F3:F96,'Rekap by Type'!C249,'2026-07-04'!L3:L96))</f>
        <v/>
      </c>
      <c r="E249" s="0">
        <f>(SUMIF('2026-07-04'!F3:F96,'Rekap by Type'!C249,'2026-07-04'!I3:I96))</f>
        <v/>
      </c>
      <c r="F249" s="0">
        <f>(SUMIF('2026-07-04'!F3:F96,'Rekap by Type'!C249,'2026-07-04'!J3:J96))</f>
        <v/>
      </c>
      <c r="G249" s="0">
        <f>ROUND(F249/1.11,0)</f>
        <v/>
      </c>
    </row>
    <row r="250" spans="1:7">
      <c r="A250" s="0" t="inlineStr">
        <is>
          <t>SUHY</t>
        </is>
      </c>
      <c r="B250" s="0" t="inlineStr">
        <is>
          <t>LKA</t>
        </is>
      </c>
      <c r="C250" s="0" t="inlineStr">
        <is>
          <t>NIAGA PLUS</t>
        </is>
      </c>
      <c r="D250" s="0">
        <f>(SUMIF('2026-07-04'!F3:F96,'Rekap by Type'!C250,'2026-07-04'!L3:L96))</f>
        <v/>
      </c>
      <c r="E250" s="0">
        <f>(SUMIF('2026-07-04'!F3:F96,'Rekap by Type'!C250,'2026-07-04'!I3:I96))</f>
        <v/>
      </c>
      <c r="F250" s="0">
        <f>(SUMIF('2026-07-04'!F3:F96,'Rekap by Type'!C250,'2026-07-04'!J3:J96))</f>
        <v/>
      </c>
      <c r="G250" s="0">
        <f>ROUND(F250/1.11,0)</f>
        <v/>
      </c>
    </row>
    <row r="251" spans="1:7">
      <c r="A251" s="0" t="inlineStr">
        <is>
          <t>SUHY</t>
        </is>
      </c>
      <c r="B251" s="0" t="inlineStr">
        <is>
          <t>LKA</t>
        </is>
      </c>
      <c r="C251" s="0" t="inlineStr">
        <is>
          <t>BINTANG GROUP</t>
        </is>
      </c>
      <c r="D251" s="0">
        <f>(SUMIF('2026-07-04'!F3:F96,'Rekap by Type'!C251,'2026-07-04'!L3:L96))</f>
        <v/>
      </c>
      <c r="E251" s="0">
        <f>(SUMIF('2026-07-04'!F3:F96,'Rekap by Type'!C251,'2026-07-04'!I3:I96))</f>
        <v/>
      </c>
      <c r="F251" s="0">
        <f>(SUMIF('2026-07-04'!F3:F96,'Rekap by Type'!C251,'2026-07-04'!J3:J96))</f>
        <v/>
      </c>
      <c r="G251" s="0">
        <f>ROUND(F251/1.11,0)</f>
        <v/>
      </c>
    </row>
    <row r="252" spans="1:7">
      <c r="A252" s="0" t="inlineStr">
        <is>
          <t>SUHY</t>
        </is>
      </c>
      <c r="B252" s="0" t="inlineStr">
        <is>
          <t>LKA</t>
        </is>
      </c>
      <c r="C252" s="0" t="inlineStr">
        <is>
          <t>KARYA SARI</t>
        </is>
      </c>
      <c r="D252" s="0">
        <f>(SUMIF('2026-07-04'!F3:F96,'Rekap by Type'!C252,'2026-07-04'!L3:L96))</f>
        <v/>
      </c>
      <c r="E252" s="0">
        <f>(SUMIF('2026-07-04'!F3:F96,'Rekap by Type'!C252,'2026-07-04'!I3:I96))</f>
        <v/>
      </c>
      <c r="F252" s="0">
        <f>(SUMIF('2026-07-04'!F3:F96,'Rekap by Type'!C252,'2026-07-04'!J3:J96))</f>
        <v/>
      </c>
      <c r="G252" s="0">
        <f>ROUND(F252/1.11,0)</f>
        <v/>
      </c>
    </row>
    <row r="253" spans="1:7">
      <c r="A253" s="0" t="inlineStr">
        <is>
          <t>SUHY</t>
        </is>
      </c>
      <c r="B253" s="0" t="inlineStr">
        <is>
          <t>LKA</t>
        </is>
      </c>
      <c r="C253" s="0" t="inlineStr">
        <is>
          <t>RUBBY GROUP</t>
        </is>
      </c>
      <c r="D253" s="0">
        <f>(SUMIF('2026-07-04'!F3:F96,'Rekap by Type'!C253,'2026-07-04'!L3:L96))</f>
        <v/>
      </c>
      <c r="E253" s="0">
        <f>(SUMIF('2026-07-04'!F3:F96,'Rekap by Type'!C253,'2026-07-04'!I3:I96))</f>
        <v/>
      </c>
      <c r="F253" s="0">
        <f>(SUMIF('2026-07-04'!F3:F96,'Rekap by Type'!C253,'2026-07-04'!J3:J96))</f>
        <v/>
      </c>
      <c r="G253" s="0">
        <f>ROUND(F253/1.11,0)</f>
        <v/>
      </c>
    </row>
    <row r="254" spans="1:7">
      <c r="A254" s="0" t="inlineStr">
        <is>
          <t>SUHY</t>
        </is>
      </c>
      <c r="B254" s="0" t="inlineStr">
        <is>
          <t>LKA</t>
        </is>
      </c>
      <c r="C254" s="0" t="inlineStr">
        <is>
          <t>DINASTI SWALAYAN</t>
        </is>
      </c>
      <c r="D254" s="0">
        <f>(SUMIF('2026-07-04'!F3:F96,'Rekap by Type'!C254,'2026-07-04'!L3:L96))</f>
        <v/>
      </c>
      <c r="E254" s="0">
        <f>(SUMIF('2026-07-04'!F3:F96,'Rekap by Type'!C254,'2026-07-04'!I3:I96))</f>
        <v/>
      </c>
      <c r="F254" s="0">
        <f>(SUMIF('2026-07-04'!F3:F96,'Rekap by Type'!C254,'2026-07-04'!J3:J96))</f>
        <v/>
      </c>
      <c r="G254" s="0">
        <f>ROUND(F254/1.11,0)</f>
        <v/>
      </c>
    </row>
    <row r="255" spans="1:7">
      <c r="A255" s="0" t="inlineStr">
        <is>
          <t>SUHY</t>
        </is>
      </c>
      <c r="B255" s="0" t="inlineStr">
        <is>
          <t>LKA</t>
        </is>
      </c>
      <c r="C255" s="0" t="inlineStr">
        <is>
          <t>PRIMA SWALAYAN</t>
        </is>
      </c>
      <c r="D255" s="0">
        <f>(SUMIF('2026-07-04'!F3:F96,'Rekap by Type'!C255,'2026-07-04'!L3:L96))</f>
        <v/>
      </c>
      <c r="E255" s="0">
        <f>(SUMIF('2026-07-04'!F3:F96,'Rekap by Type'!C255,'2026-07-04'!I3:I96))</f>
        <v/>
      </c>
      <c r="F255" s="0">
        <f>(SUMIF('2026-07-04'!F3:F96,'Rekap by Type'!C255,'2026-07-04'!J3:J96))</f>
        <v/>
      </c>
      <c r="G255" s="0">
        <f>ROUND(F255/1.11,0)</f>
        <v/>
      </c>
    </row>
    <row r="256" spans="1:7">
      <c r="A256" s="0" t="inlineStr">
        <is>
          <t>SUHY</t>
        </is>
      </c>
      <c r="B256" s="0" t="inlineStr">
        <is>
          <t>LKA</t>
        </is>
      </c>
      <c r="C256" s="0" t="inlineStr">
        <is>
          <t>GOLDEN SWALAYAN</t>
        </is>
      </c>
      <c r="D256" s="0">
        <f>(SUMIF('2026-07-04'!F3:F96,'Rekap by Type'!C256,'2026-07-04'!L3:L96))</f>
        <v/>
      </c>
      <c r="E256" s="0">
        <f>(SUMIF('2026-07-04'!F3:F96,'Rekap by Type'!C256,'2026-07-04'!I3:I96))</f>
        <v/>
      </c>
      <c r="F256" s="0">
        <f>(SUMIF('2026-07-04'!F3:F96,'Rekap by Type'!C256,'2026-07-04'!J3:J96))</f>
        <v/>
      </c>
      <c r="G256" s="0">
        <f>ROUND(F256/1.11,0)</f>
        <v/>
      </c>
    </row>
    <row r="257" spans="1:7">
      <c r="A257" s="0" t="inlineStr">
        <is>
          <t>SUHY</t>
        </is>
      </c>
      <c r="B257" s="0" t="inlineStr">
        <is>
          <t>LKA</t>
        </is>
      </c>
      <c r="C257" s="0" t="inlineStr">
        <is>
          <t>LUWES SWALAYAN</t>
        </is>
      </c>
      <c r="D257" s="0">
        <f>(SUMIF('2026-07-04'!F3:F96,'Rekap by Type'!C257,'2026-07-04'!L3:L96))</f>
        <v/>
      </c>
      <c r="E257" s="0">
        <f>(SUMIF('2026-07-04'!F3:F96,'Rekap by Type'!C257,'2026-07-04'!I3:I96))</f>
        <v/>
      </c>
      <c r="F257" s="0">
        <f>(SUMIF('2026-07-04'!F3:F96,'Rekap by Type'!C257,'2026-07-04'!J3:J96))</f>
        <v/>
      </c>
      <c r="G257" s="0">
        <f>ROUND(F257/1.11,0)</f>
        <v/>
      </c>
    </row>
    <row r="258" spans="1:7">
      <c r="A258" s="0" t="inlineStr">
        <is>
          <t>SUHY</t>
        </is>
      </c>
      <c r="B258" s="0" t="inlineStr">
        <is>
          <t>LKA</t>
        </is>
      </c>
      <c r="C258" s="0" t="inlineStr">
        <is>
          <t>RAJAWALI SWALAYAN</t>
        </is>
      </c>
      <c r="D258" s="0">
        <f>(SUMIF('2026-07-04'!F3:F96,'Rekap by Type'!C258,'2026-07-04'!L3:L96))</f>
        <v/>
      </c>
      <c r="E258" s="0">
        <f>(SUMIF('2026-07-04'!F3:F96,'Rekap by Type'!C258,'2026-07-04'!I3:I96))</f>
        <v/>
      </c>
      <c r="F258" s="0">
        <f>(SUMIF('2026-07-04'!F3:F96,'Rekap by Type'!C258,'2026-07-04'!J3:J96))</f>
        <v/>
      </c>
      <c r="G258" s="0">
        <f>ROUND(F258/1.11,0)</f>
        <v/>
      </c>
    </row>
    <row r="259" spans="1:7">
      <c r="A259" s="0" t="inlineStr">
        <is>
          <t>SUHY</t>
        </is>
      </c>
      <c r="B259" s="0" t="inlineStr">
        <is>
          <t>LKA</t>
        </is>
      </c>
      <c r="C259" s="0" t="inlineStr">
        <is>
          <t>TSAMANIYA SWALAYAN</t>
        </is>
      </c>
      <c r="D259" s="0">
        <f>(SUMIF('2026-07-04'!F3:F96,'Rekap by Type'!C259,'2026-07-04'!L3:L96))</f>
        <v/>
      </c>
      <c r="E259" s="0">
        <f>(SUMIF('2026-07-04'!F3:F96,'Rekap by Type'!C259,'2026-07-04'!I3:I96))</f>
        <v/>
      </c>
      <c r="F259" s="0">
        <f>(SUMIF('2026-07-04'!F3:F96,'Rekap by Type'!C259,'2026-07-04'!J3:J96))</f>
        <v/>
      </c>
      <c r="G259" s="0">
        <f>ROUND(F259/1.11,0)</f>
        <v/>
      </c>
    </row>
    <row r="260" spans="1:7">
      <c r="A260" s="0" t="inlineStr">
        <is>
          <t>SUHY</t>
        </is>
      </c>
      <c r="B260" s="0" t="inlineStr">
        <is>
          <t>LKA</t>
        </is>
      </c>
      <c r="C260" s="0" t="inlineStr">
        <is>
          <t>TRONA GROUP</t>
        </is>
      </c>
      <c r="D260" s="0">
        <f>(SUMIF('2026-07-04'!F3:F96,'Rekap by Type'!C260,'2026-07-04'!L3:L96))</f>
        <v/>
      </c>
      <c r="E260" s="0">
        <f>(SUMIF('2026-07-04'!F3:F96,'Rekap by Type'!C260,'2026-07-04'!I3:I96))</f>
        <v/>
      </c>
      <c r="F260" s="0">
        <f>(SUMIF('2026-07-04'!F3:F96,'Rekap by Type'!C260,'2026-07-04'!J3:J96))</f>
        <v/>
      </c>
      <c r="G260" s="0">
        <f>ROUND(F260/1.11,0)</f>
        <v/>
      </c>
    </row>
    <row r="261" spans="1:7">
      <c r="A261" s="0" t="inlineStr">
        <is>
          <t>SUHY</t>
        </is>
      </c>
      <c r="B261" s="0" t="inlineStr">
        <is>
          <t>LKA</t>
        </is>
      </c>
      <c r="C261" s="0" t="inlineStr">
        <is>
          <t>MANDALA GROUP</t>
        </is>
      </c>
      <c r="D261" s="0">
        <f>(SUMIF('2026-07-04'!F3:F96,'Rekap by Type'!C261,'2026-07-04'!L3:L96))</f>
        <v/>
      </c>
      <c r="E261" s="0">
        <f>(SUMIF('2026-07-04'!F3:F96,'Rekap by Type'!C261,'2026-07-04'!I3:I96))</f>
        <v/>
      </c>
      <c r="F261" s="0">
        <f>(SUMIF('2026-07-04'!F3:F96,'Rekap by Type'!C261,'2026-07-04'!J3:J96))</f>
        <v/>
      </c>
      <c r="G261" s="0">
        <f>ROUND(F261/1.11,0)</f>
        <v/>
      </c>
    </row>
    <row r="262" spans="1:7">
      <c r="A262" s="0" t="inlineStr">
        <is>
          <t>SUHY</t>
        </is>
      </c>
      <c r="B262" s="0" t="inlineStr">
        <is>
          <t>LKA</t>
        </is>
      </c>
      <c r="C262" s="0" t="inlineStr">
        <is>
          <t>KOPERASI MAN CENDEKIA</t>
        </is>
      </c>
      <c r="D262" s="0">
        <f>(SUMIF('2026-07-04'!F3:F96,'Rekap by Type'!C262,'2026-07-04'!L3:L96))</f>
        <v/>
      </c>
      <c r="E262" s="0">
        <f>(SUMIF('2026-07-04'!F3:F96,'Rekap by Type'!C262,'2026-07-04'!I3:I96))</f>
        <v/>
      </c>
      <c r="F262" s="0">
        <f>(SUMIF('2026-07-04'!F3:F96,'Rekap by Type'!C262,'2026-07-04'!J3:J96))</f>
        <v/>
      </c>
      <c r="G262" s="0">
        <f>ROUND(F262/1.11,0)</f>
        <v/>
      </c>
    </row>
    <row r="263" spans="1:7">
      <c r="A263" s="0" t="inlineStr">
        <is>
          <t>SUHY</t>
        </is>
      </c>
      <c r="B263" s="0" t="inlineStr">
        <is>
          <t>LKA</t>
        </is>
      </c>
      <c r="C263" s="0" t="inlineStr">
        <is>
          <t>KOPERASI SMAN TITIAN TERAS</t>
        </is>
      </c>
      <c r="D263" s="0">
        <f>(SUMIF('2026-07-04'!F3:F96,'Rekap by Type'!C263,'2026-07-04'!L3:L96))</f>
        <v/>
      </c>
      <c r="E263" s="0">
        <f>(SUMIF('2026-07-04'!F3:F96,'Rekap by Type'!C263,'2026-07-04'!I3:I96))</f>
        <v/>
      </c>
      <c r="F263" s="0">
        <f>(SUMIF('2026-07-04'!F3:F96,'Rekap by Type'!C263,'2026-07-04'!J3:J96))</f>
        <v/>
      </c>
      <c r="G263" s="0">
        <f>ROUND(F263/1.11,0)</f>
        <v/>
      </c>
    </row>
    <row r="264" spans="1:7">
      <c r="A264" s="0" t="inlineStr">
        <is>
          <t>SUHY</t>
        </is>
      </c>
      <c r="B264" s="0" t="inlineStr">
        <is>
          <t>LKA</t>
        </is>
      </c>
      <c r="C264" s="0" t="inlineStr">
        <is>
          <t>KOPERASI DINIYYAH AL AZHAR</t>
        </is>
      </c>
      <c r="D264" s="0">
        <f>(SUMIF('2026-07-04'!F3:F96,'Rekap by Type'!C264,'2026-07-04'!L3:L96))</f>
        <v/>
      </c>
      <c r="E264" s="0">
        <f>(SUMIF('2026-07-04'!F3:F96,'Rekap by Type'!C264,'2026-07-04'!I3:I96))</f>
        <v/>
      </c>
      <c r="F264" s="0">
        <f>(SUMIF('2026-07-04'!F3:F96,'Rekap by Type'!C264,'2026-07-04'!J3:J96))</f>
        <v/>
      </c>
      <c r="G264" s="0">
        <f>ROUND(F264/1.11,0)</f>
        <v/>
      </c>
    </row>
    <row r="265" spans="1:7">
      <c r="A265" s="0" t="inlineStr">
        <is>
          <t>SUHY</t>
        </is>
      </c>
      <c r="B265" s="0" t="inlineStr">
        <is>
          <t>LKA</t>
        </is>
      </c>
      <c r="C265" s="0" t="inlineStr">
        <is>
          <t>MM CENTRAL MAYANG</t>
        </is>
      </c>
      <c r="D265" s="0">
        <f>(SUMIF('2026-07-04'!F3:F96,'Rekap by Type'!C265,'2026-07-04'!L3:L96))</f>
        <v/>
      </c>
      <c r="E265" s="0">
        <f>(SUMIF('2026-07-04'!F3:F96,'Rekap by Type'!C265,'2026-07-04'!I3:I96))</f>
        <v/>
      </c>
      <c r="F265" s="0">
        <f>(SUMIF('2026-07-04'!F3:F96,'Rekap by Type'!C265,'2026-07-04'!J3:J96))</f>
        <v/>
      </c>
      <c r="G265" s="0">
        <f>ROUND(F265/1.11,0)</f>
        <v/>
      </c>
    </row>
    <row r="266" spans="1:7">
      <c r="A266" s="0" t="inlineStr">
        <is>
          <t>SUHY</t>
        </is>
      </c>
      <c r="B266" s="0" t="inlineStr">
        <is>
          <t>LKA</t>
        </is>
      </c>
      <c r="C266" s="0" t="inlineStr">
        <is>
          <t>MENTARI GROUP</t>
        </is>
      </c>
      <c r="D266" s="0">
        <f>(SUMIF('2026-07-04'!F3:F96,'Rekap by Type'!C266,'2026-07-04'!L3:L96))</f>
        <v/>
      </c>
      <c r="E266" s="0">
        <f>(SUMIF('2026-07-04'!F3:F96,'Rekap by Type'!C266,'2026-07-04'!I3:I96))</f>
        <v/>
      </c>
      <c r="F266" s="0">
        <f>(SUMIF('2026-07-04'!F3:F96,'Rekap by Type'!C266,'2026-07-04'!J3:J96))</f>
        <v/>
      </c>
      <c r="G266" s="0">
        <f>ROUND(F266/1.11,0)</f>
        <v/>
      </c>
    </row>
    <row r="267" spans="1:7">
      <c r="A267" s="0" t="inlineStr">
        <is>
          <t>SUHY</t>
        </is>
      </c>
      <c r="B267" s="0" t="inlineStr">
        <is>
          <t>LKA</t>
        </is>
      </c>
      <c r="C267" s="0" t="inlineStr">
        <is>
          <t>JAMBI JUNCTION GROUP</t>
        </is>
      </c>
      <c r="D267" s="0">
        <f>(SUMIF('2026-07-04'!F3:F96,'Rekap by Type'!C267,'2026-07-04'!L3:L96))</f>
        <v/>
      </c>
      <c r="E267" s="0">
        <f>(SUMIF('2026-07-04'!F3:F96,'Rekap by Type'!C267,'2026-07-04'!I3:I96))</f>
        <v/>
      </c>
      <c r="F267" s="0">
        <f>(SUMIF('2026-07-04'!F3:F96,'Rekap by Type'!C267,'2026-07-04'!J3:J96))</f>
        <v/>
      </c>
      <c r="G267" s="0">
        <f>ROUND(F267/1.11,0)</f>
        <v/>
      </c>
    </row>
    <row r="268" spans="1:7">
      <c r="A268" s="0" t="inlineStr">
        <is>
          <t>SUHY</t>
        </is>
      </c>
      <c r="B268" s="0" t="inlineStr">
        <is>
          <t>LKA</t>
        </is>
      </c>
      <c r="C268" s="0" t="inlineStr">
        <is>
          <t>MARINA MART</t>
        </is>
      </c>
      <c r="D268" s="0">
        <f>(SUMIF('2026-07-04'!F3:F96,'Rekap by Type'!C268,'2026-07-04'!L3:L96))</f>
        <v/>
      </c>
      <c r="E268" s="0">
        <f>(SUMIF('2026-07-04'!F3:F96,'Rekap by Type'!C268,'2026-07-04'!I3:I96))</f>
        <v/>
      </c>
      <c r="F268" s="0">
        <f>(SUMIF('2026-07-04'!F3:F96,'Rekap by Type'!C268,'2026-07-04'!J3:J96))</f>
        <v/>
      </c>
      <c r="G268" s="0">
        <f>ROUND(F268/1.11,0)</f>
        <v/>
      </c>
    </row>
    <row r="269" spans="1:7">
      <c r="A269" s="0" t="inlineStr">
        <is>
          <t>SUHY</t>
        </is>
      </c>
      <c r="B269" s="0" t="inlineStr">
        <is>
          <t>LKA</t>
        </is>
      </c>
      <c r="C269" s="0" t="inlineStr">
        <is>
          <t>KOPERASI PT PUSRI PLB</t>
        </is>
      </c>
      <c r="D269" s="0">
        <f>(SUMIF('2026-07-04'!F3:F96,'Rekap by Type'!C269,'2026-07-04'!L3:L96))</f>
        <v/>
      </c>
      <c r="E269" s="0">
        <f>(SUMIF('2026-07-04'!F3:F96,'Rekap by Type'!C269,'2026-07-04'!I3:I96))</f>
        <v/>
      </c>
      <c r="F269" s="0">
        <f>(SUMIF('2026-07-04'!F3:F96,'Rekap by Type'!C269,'2026-07-04'!J3:J96))</f>
        <v/>
      </c>
      <c r="G269" s="0">
        <f>ROUND(F269/1.11,0)</f>
        <v/>
      </c>
    </row>
    <row r="270" spans="1:7">
      <c r="A270" s="0" t="inlineStr">
        <is>
          <t>SUHY</t>
        </is>
      </c>
      <c r="B270" s="0" t="inlineStr">
        <is>
          <t>LKA</t>
        </is>
      </c>
      <c r="C270" s="0" t="inlineStr">
        <is>
          <t>PRATAMA MART</t>
        </is>
      </c>
      <c r="D270" s="0">
        <f>(SUMIF('2026-07-04'!F3:F96,'Rekap by Type'!C270,'2026-07-04'!L3:L96))</f>
        <v/>
      </c>
      <c r="E270" s="0">
        <f>(SUMIF('2026-07-04'!F3:F96,'Rekap by Type'!C270,'2026-07-04'!I3:I96))</f>
        <v/>
      </c>
      <c r="F270" s="0">
        <f>(SUMIF('2026-07-04'!F3:F96,'Rekap by Type'!C270,'2026-07-04'!J3:J96))</f>
        <v/>
      </c>
      <c r="G270" s="0">
        <f>ROUND(F270/1.11,0)</f>
        <v/>
      </c>
    </row>
    <row r="271" spans="1:7">
      <c r="A271" s="0" t="inlineStr">
        <is>
          <t>SUHY</t>
        </is>
      </c>
      <c r="B271" s="0" t="inlineStr">
        <is>
          <t>LKA</t>
        </is>
      </c>
      <c r="C271" s="0" t="inlineStr">
        <is>
          <t>PUTRA GROUP JAMBI</t>
        </is>
      </c>
      <c r="D271" s="0">
        <f>(SUMIF('2026-07-04'!F3:F96,'Rekap by Type'!C271,'2026-07-04'!L3:L96))</f>
        <v/>
      </c>
      <c r="E271" s="0">
        <f>(SUMIF('2026-07-04'!F3:F96,'Rekap by Type'!C271,'2026-07-04'!I3:I96))</f>
        <v/>
      </c>
      <c r="F271" s="0">
        <f>(SUMIF('2026-07-04'!F3:F96,'Rekap by Type'!C271,'2026-07-04'!J3:J96))</f>
        <v/>
      </c>
      <c r="G271" s="0">
        <f>ROUND(F271/1.11,0)</f>
        <v/>
      </c>
    </row>
    <row r="272" spans="1:7">
      <c r="A272" s="0" t="inlineStr">
        <is>
          <t>SUHY</t>
        </is>
      </c>
      <c r="B272" s="0" t="inlineStr">
        <is>
          <t>LKA</t>
        </is>
      </c>
      <c r="C272" s="0" t="inlineStr">
        <is>
          <t>PERMATA GROUP</t>
        </is>
      </c>
      <c r="D272" s="0">
        <f>(SUMIF('2026-07-04'!F3:F96,'Rekap by Type'!C272,'2026-07-04'!L3:L96))</f>
        <v/>
      </c>
      <c r="E272" s="0">
        <f>(SUMIF('2026-07-04'!F3:F96,'Rekap by Type'!C272,'2026-07-04'!I3:I96))</f>
        <v/>
      </c>
      <c r="F272" s="0">
        <f>(SUMIF('2026-07-04'!F3:F96,'Rekap by Type'!C272,'2026-07-04'!J3:J96))</f>
        <v/>
      </c>
      <c r="G272" s="0">
        <f>ROUND(F272/1.11,0)</f>
        <v/>
      </c>
    </row>
    <row r="273" spans="1:7">
      <c r="A273" s="0" t="inlineStr">
        <is>
          <t>SUHY</t>
        </is>
      </c>
      <c r="B273" s="0" t="inlineStr">
        <is>
          <t>LKA</t>
        </is>
      </c>
      <c r="C273" s="0" t="inlineStr">
        <is>
          <t>MIRING GROUP</t>
        </is>
      </c>
      <c r="D273" s="0">
        <f>(SUMIF('2026-07-04'!F3:F96,'Rekap by Type'!C273,'2026-07-04'!L3:L96))</f>
        <v/>
      </c>
      <c r="E273" s="0">
        <f>(SUMIF('2026-07-04'!F3:F96,'Rekap by Type'!C273,'2026-07-04'!I3:I96))</f>
        <v/>
      </c>
      <c r="F273" s="0">
        <f>(SUMIF('2026-07-04'!F3:F96,'Rekap by Type'!C273,'2026-07-04'!J3:J96))</f>
        <v/>
      </c>
      <c r="G273" s="0">
        <f>ROUND(F273/1.11,0)</f>
        <v/>
      </c>
    </row>
    <row r="274" spans="1:7">
      <c r="A274" s="0" t="inlineStr">
        <is>
          <t>SUHY</t>
        </is>
      </c>
      <c r="B274" s="0" t="inlineStr">
        <is>
          <t>LKA</t>
        </is>
      </c>
      <c r="C274" s="0" t="inlineStr">
        <is>
          <t>TOP MART</t>
        </is>
      </c>
      <c r="D274" s="0">
        <f>(SUMIF('2026-07-04'!F3:F96,'Rekap by Type'!C274,'2026-07-04'!L3:L96))</f>
        <v/>
      </c>
      <c r="E274" s="0">
        <f>(SUMIF('2026-07-04'!F3:F96,'Rekap by Type'!C274,'2026-07-04'!I3:I96))</f>
        <v/>
      </c>
      <c r="F274" s="0">
        <f>(SUMIF('2026-07-04'!F3:F96,'Rekap by Type'!C274,'2026-07-04'!J3:J96))</f>
        <v/>
      </c>
      <c r="G274" s="0">
        <f>ROUND(F274/1.11,0)</f>
        <v/>
      </c>
    </row>
    <row r="275" spans="1:7">
      <c r="A275" s="0" t="inlineStr">
        <is>
          <t>SUHY</t>
        </is>
      </c>
      <c r="B275" s="0" t="inlineStr">
        <is>
          <t>LKA</t>
        </is>
      </c>
      <c r="C275" s="0" t="inlineStr">
        <is>
          <t>HT TOSERBA</t>
        </is>
      </c>
      <c r="D275" s="0">
        <f>(SUMIF('2026-07-04'!F3:F96,'Rekap by Type'!C275,'2026-07-04'!L3:L96))</f>
        <v/>
      </c>
      <c r="E275" s="0">
        <f>(SUMIF('2026-07-04'!F3:F96,'Rekap by Type'!C275,'2026-07-04'!I3:I96))</f>
        <v/>
      </c>
      <c r="F275" s="0">
        <f>(SUMIF('2026-07-04'!F3:F96,'Rekap by Type'!C275,'2026-07-04'!J3:J96))</f>
        <v/>
      </c>
      <c r="G275" s="0">
        <f>ROUND(F275/1.11,0)</f>
        <v/>
      </c>
    </row>
    <row r="276" spans="1:7">
      <c r="A276" s="0" t="inlineStr">
        <is>
          <t>SUHY</t>
        </is>
      </c>
      <c r="B276" s="0" t="inlineStr">
        <is>
          <t>LKA</t>
        </is>
      </c>
      <c r="C276" s="0" t="inlineStr">
        <is>
          <t>FITRINOFANE GROUP</t>
        </is>
      </c>
      <c r="D276" s="0">
        <f>(SUMIF('2026-07-04'!F3:F96,'Rekap by Type'!C276,'2026-07-04'!L3:L96))</f>
        <v/>
      </c>
      <c r="E276" s="0">
        <f>(SUMIF('2026-07-04'!F3:F96,'Rekap by Type'!C276,'2026-07-04'!I3:I96))</f>
        <v/>
      </c>
      <c r="F276" s="0">
        <f>(SUMIF('2026-07-04'!F3:F96,'Rekap by Type'!C276,'2026-07-04'!J3:J96))</f>
        <v/>
      </c>
      <c r="G276" s="0">
        <f>ROUND(F276/1.11,0)</f>
        <v/>
      </c>
    </row>
    <row r="277" spans="1:7">
      <c r="A277" s="0" t="inlineStr">
        <is>
          <t>SUHY</t>
        </is>
      </c>
      <c r="B277" s="0" t="inlineStr">
        <is>
          <t>LKA</t>
        </is>
      </c>
      <c r="C277" s="0" t="inlineStr">
        <is>
          <t>PUTRA BARU GROUP</t>
        </is>
      </c>
      <c r="D277" s="0">
        <f>(SUMIF('2026-07-04'!F3:F96,'Rekap by Type'!C277,'2026-07-04'!L3:L96))</f>
        <v/>
      </c>
      <c r="E277" s="0">
        <f>(SUMIF('2026-07-04'!F3:F96,'Rekap by Type'!C277,'2026-07-04'!I3:I96))</f>
        <v/>
      </c>
      <c r="F277" s="0">
        <f>(SUMIF('2026-07-04'!F3:F96,'Rekap by Type'!C277,'2026-07-04'!J3:J96))</f>
        <v/>
      </c>
      <c r="G277" s="0">
        <f>ROUND(F277/1.11,0)</f>
        <v/>
      </c>
    </row>
    <row r="278" spans="1:7">
      <c r="A278" s="0" t="inlineStr">
        <is>
          <t>SUHY</t>
        </is>
      </c>
      <c r="B278" s="0" t="inlineStr">
        <is>
          <t>LKA</t>
        </is>
      </c>
      <c r="C278" s="0" t="inlineStr">
        <is>
          <t>YES248 GROUP</t>
        </is>
      </c>
      <c r="D278" s="0">
        <f>(SUMIF('2026-07-04'!F3:F96,'Rekap by Type'!C278,'2026-07-04'!L3:L96))</f>
        <v/>
      </c>
      <c r="E278" s="0">
        <f>(SUMIF('2026-07-04'!F3:F96,'Rekap by Type'!C278,'2026-07-04'!I3:I96))</f>
        <v/>
      </c>
      <c r="F278" s="0">
        <f>(SUMIF('2026-07-04'!F3:F96,'Rekap by Type'!C278,'2026-07-04'!J3:J96))</f>
        <v/>
      </c>
      <c r="G278" s="0">
        <f>ROUND(F278/1.11,0)</f>
        <v/>
      </c>
    </row>
    <row r="279" spans="1:7">
      <c r="A279" s="0" t="inlineStr">
        <is>
          <t>SUHY</t>
        </is>
      </c>
      <c r="B279" s="0" t="inlineStr">
        <is>
          <t>LKA</t>
        </is>
      </c>
      <c r="C279" s="0" t="inlineStr">
        <is>
          <t>MANDIRI EXPRESS</t>
        </is>
      </c>
      <c r="D279" s="0">
        <f>(SUMIF('2026-07-04'!F3:F96,'Rekap by Type'!C279,'2026-07-04'!L3:L96))</f>
        <v/>
      </c>
      <c r="E279" s="0">
        <f>(SUMIF('2026-07-04'!F3:F96,'Rekap by Type'!C279,'2026-07-04'!I3:I96))</f>
        <v/>
      </c>
      <c r="F279" s="0">
        <f>(SUMIF('2026-07-04'!F3:F96,'Rekap by Type'!C279,'2026-07-04'!J3:J96))</f>
        <v/>
      </c>
      <c r="G279" s="0">
        <f>ROUND(F279/1.11,0)</f>
        <v/>
      </c>
    </row>
    <row r="280" spans="1:7">
      <c r="A280" s="0" t="inlineStr">
        <is>
          <t>SUHY</t>
        </is>
      </c>
      <c r="B280" s="0" t="inlineStr">
        <is>
          <t>LKA</t>
        </is>
      </c>
      <c r="C280" s="0" t="inlineStr">
        <is>
          <t>REPA MART</t>
        </is>
      </c>
      <c r="D280" s="0">
        <f>(SUMIF('2026-07-04'!F3:F96,'Rekap by Type'!C280,'2026-07-04'!L3:L96))</f>
        <v/>
      </c>
      <c r="E280" s="0">
        <f>(SUMIF('2026-07-04'!F3:F96,'Rekap by Type'!C280,'2026-07-04'!I3:I96))</f>
        <v/>
      </c>
      <c r="F280" s="0">
        <f>(SUMIF('2026-07-04'!F3:F96,'Rekap by Type'!C280,'2026-07-04'!J3:J96))</f>
        <v/>
      </c>
      <c r="G280" s="0">
        <f>ROUND(F280/1.11,0)</f>
        <v/>
      </c>
    </row>
    <row r="281" spans="1:7">
      <c r="A281" s="0" t="inlineStr">
        <is>
          <t>SUHY</t>
        </is>
      </c>
      <c r="B281" s="0" t="inlineStr">
        <is>
          <t>LKA</t>
        </is>
      </c>
      <c r="C281" s="0" t="inlineStr">
        <is>
          <t>PUTRA MART SIANTAR</t>
        </is>
      </c>
      <c r="D281" s="0">
        <f>(SUMIF('2026-07-04'!F3:F96,'Rekap by Type'!C281,'2026-07-04'!L3:L96))</f>
        <v/>
      </c>
      <c r="E281" s="0">
        <f>(SUMIF('2026-07-04'!F3:F96,'Rekap by Type'!C281,'2026-07-04'!I3:I96))</f>
        <v/>
      </c>
      <c r="F281" s="0">
        <f>(SUMIF('2026-07-04'!F3:F96,'Rekap by Type'!C281,'2026-07-04'!J3:J96))</f>
        <v/>
      </c>
      <c r="G281" s="0">
        <f>ROUND(F281/1.11,0)</f>
        <v/>
      </c>
    </row>
    <row r="282" spans="1:7">
      <c r="A282" s="0" t="inlineStr">
        <is>
          <t>SUHY</t>
        </is>
      </c>
      <c r="B282" s="0" t="inlineStr">
        <is>
          <t>LKA</t>
        </is>
      </c>
      <c r="C282" s="0" t="inlineStr">
        <is>
          <t>CELLO MART GROUP</t>
        </is>
      </c>
      <c r="D282" s="0">
        <f>(SUMIF('2026-07-04'!F3:F96,'Rekap by Type'!C282,'2026-07-04'!L3:L96))</f>
        <v/>
      </c>
      <c r="E282" s="0">
        <f>(SUMIF('2026-07-04'!F3:F96,'Rekap by Type'!C282,'2026-07-04'!I3:I96))</f>
        <v/>
      </c>
      <c r="F282" s="0">
        <f>(SUMIF('2026-07-04'!F3:F96,'Rekap by Type'!C282,'2026-07-04'!J3:J96))</f>
        <v/>
      </c>
      <c r="G282" s="0">
        <f>ROUND(F282/1.11,0)</f>
        <v/>
      </c>
    </row>
    <row r="283" spans="1:7">
      <c r="A283" s="0" t="inlineStr">
        <is>
          <t>SUHY</t>
        </is>
      </c>
      <c r="B283" s="0" t="inlineStr">
        <is>
          <t>LKA</t>
        </is>
      </c>
      <c r="C283" s="0" t="inlineStr">
        <is>
          <t>BESTA SWALAYAN GROUP</t>
        </is>
      </c>
      <c r="D283" s="0">
        <f>(SUMIF('2026-07-04'!F3:F96,'Rekap by Type'!C283,'2026-07-04'!L3:L96))</f>
        <v/>
      </c>
      <c r="E283" s="0">
        <f>(SUMIF('2026-07-04'!F3:F96,'Rekap by Type'!C283,'2026-07-04'!I3:I96))</f>
        <v/>
      </c>
      <c r="F283" s="0">
        <f>(SUMIF('2026-07-04'!F3:F96,'Rekap by Type'!C283,'2026-07-04'!J3:J96))</f>
        <v/>
      </c>
      <c r="G283" s="0">
        <f>ROUND(F283/1.11,0)</f>
        <v/>
      </c>
    </row>
    <row r="284" spans="1:7">
      <c r="A284" s="0" t="inlineStr">
        <is>
          <t>SUHY</t>
        </is>
      </c>
      <c r="B284" s="0" t="inlineStr">
        <is>
          <t>LKA</t>
        </is>
      </c>
      <c r="C284" s="0" t="inlineStr">
        <is>
          <t>MULIA MART GROUP</t>
        </is>
      </c>
      <c r="D284" s="0">
        <f>(SUMIF('2026-07-04'!F3:F96,'Rekap by Type'!C284,'2026-07-04'!L3:L96))</f>
        <v/>
      </c>
      <c r="E284" s="0">
        <f>(SUMIF('2026-07-04'!F3:F96,'Rekap by Type'!C284,'2026-07-04'!I3:I96))</f>
        <v/>
      </c>
      <c r="F284" s="0">
        <f>(SUMIF('2026-07-04'!F3:F96,'Rekap by Type'!C284,'2026-07-04'!J3:J96))</f>
        <v/>
      </c>
      <c r="G284" s="0">
        <f>ROUND(F284/1.11,0)</f>
        <v/>
      </c>
    </row>
    <row r="285" spans="1:7">
      <c r="A285" s="0" t="inlineStr">
        <is>
          <t>SUHY</t>
        </is>
      </c>
      <c r="B285" s="0" t="inlineStr">
        <is>
          <t>LKA</t>
        </is>
      </c>
      <c r="C285" s="0" t="inlineStr">
        <is>
          <t>CAHAYA MART GROUP</t>
        </is>
      </c>
      <c r="D285" s="0">
        <f>(SUMIF('2026-07-04'!F3:F96,'Rekap by Type'!C285,'2026-07-04'!L3:L96))</f>
        <v/>
      </c>
      <c r="E285" s="0">
        <f>(SUMIF('2026-07-04'!F3:F96,'Rekap by Type'!C285,'2026-07-04'!I3:I96))</f>
        <v/>
      </c>
      <c r="F285" s="0">
        <f>(SUMIF('2026-07-04'!F3:F96,'Rekap by Type'!C285,'2026-07-04'!J3:J96))</f>
        <v/>
      </c>
      <c r="G285" s="0">
        <f>ROUND(F285/1.11,0)</f>
        <v/>
      </c>
    </row>
    <row r="286" spans="1:7">
      <c r="A286" s="0" t="inlineStr">
        <is>
          <t>SUHY</t>
        </is>
      </c>
      <c r="B286" s="0" t="inlineStr">
        <is>
          <t>LKA</t>
        </is>
      </c>
      <c r="C286" s="0" t="inlineStr">
        <is>
          <t>CAHAYA HATI MART</t>
        </is>
      </c>
      <c r="D286" s="0">
        <f>(SUMIF('2026-07-04'!F3:F96,'Rekap by Type'!C286,'2026-07-04'!L3:L96))</f>
        <v/>
      </c>
      <c r="E286" s="0">
        <f>(SUMIF('2026-07-04'!F3:F96,'Rekap by Type'!C286,'2026-07-04'!I3:I96))</f>
        <v/>
      </c>
      <c r="F286" s="0">
        <f>(SUMIF('2026-07-04'!F3:F96,'Rekap by Type'!C286,'2026-07-04'!J3:J96))</f>
        <v/>
      </c>
      <c r="G286" s="0">
        <f>ROUND(F286/1.11,0)</f>
        <v/>
      </c>
    </row>
    <row r="287" spans="1:7">
      <c r="A287" s="0" t="inlineStr">
        <is>
          <t>SUHY</t>
        </is>
      </c>
      <c r="B287" s="0" t="inlineStr">
        <is>
          <t>LKA</t>
        </is>
      </c>
      <c r="C287" s="0" t="inlineStr">
        <is>
          <t>ANGKASA MART GROUP</t>
        </is>
      </c>
      <c r="D287" s="0">
        <f>(SUMIF('2026-07-04'!F3:F96,'Rekap by Type'!C287,'2026-07-04'!L3:L96))</f>
        <v/>
      </c>
      <c r="E287" s="0">
        <f>(SUMIF('2026-07-04'!F3:F96,'Rekap by Type'!C287,'2026-07-04'!I3:I96))</f>
        <v/>
      </c>
      <c r="F287" s="0">
        <f>(SUMIF('2026-07-04'!F3:F96,'Rekap by Type'!C287,'2026-07-04'!J3:J96))</f>
        <v/>
      </c>
      <c r="G287" s="0">
        <f>ROUND(F287/1.11,0)</f>
        <v/>
      </c>
    </row>
    <row r="288" spans="1:7">
      <c r="A288" s="0" t="inlineStr">
        <is>
          <t>SUHY</t>
        </is>
      </c>
      <c r="B288" s="0" t="inlineStr">
        <is>
          <t>LKA</t>
        </is>
      </c>
      <c r="C288" s="0" t="inlineStr">
        <is>
          <t>999 SWALAYAN GROUP</t>
        </is>
      </c>
      <c r="D288" s="0">
        <f>(SUMIF('2026-07-04'!F3:F96,'Rekap by Type'!C288,'2026-07-04'!L3:L96))</f>
        <v/>
      </c>
      <c r="E288" s="0">
        <f>(SUMIF('2026-07-04'!F3:F96,'Rekap by Type'!C288,'2026-07-04'!I3:I96))</f>
        <v/>
      </c>
      <c r="F288" s="0">
        <f>(SUMIF('2026-07-04'!F3:F96,'Rekap by Type'!C288,'2026-07-04'!J3:J96))</f>
        <v/>
      </c>
      <c r="G288" s="0">
        <f>ROUND(F288/1.11,0)</f>
        <v/>
      </c>
    </row>
    <row r="289" spans="1:7">
      <c r="A289" s="0" t="inlineStr">
        <is>
          <t>SUHY</t>
        </is>
      </c>
      <c r="B289" s="0" t="inlineStr">
        <is>
          <t>LKA</t>
        </is>
      </c>
      <c r="C289" s="0" t="inlineStr">
        <is>
          <t>LAPAN MART </t>
        </is>
      </c>
      <c r="D289" s="0">
        <f>(SUMIF('2026-07-04'!F3:F96,'Rekap by Type'!C289,'2026-07-04'!L3:L96))</f>
        <v/>
      </c>
      <c r="E289" s="0">
        <f>(SUMIF('2026-07-04'!F3:F96,'Rekap by Type'!C289,'2026-07-04'!I3:I96))</f>
        <v/>
      </c>
      <c r="F289" s="0">
        <f>(SUMIF('2026-07-04'!F3:F96,'Rekap by Type'!C289,'2026-07-04'!J3:J96))</f>
        <v/>
      </c>
      <c r="G289" s="0">
        <f>ROUND(F289/1.11,0)</f>
        <v/>
      </c>
    </row>
    <row r="290" spans="1:7">
      <c r="A290" s="0" t="inlineStr">
        <is>
          <t>SUHY</t>
        </is>
      </c>
      <c r="B290" s="0" t="inlineStr">
        <is>
          <t>LKA</t>
        </is>
      </c>
      <c r="C290" s="0" t="inlineStr">
        <is>
          <t>KOPERASI ASHOFA</t>
        </is>
      </c>
      <c r="D290" s="0">
        <f>(SUMIF('2026-07-04'!F3:F96,'Rekap by Type'!C290,'2026-07-04'!L3:L96))</f>
        <v/>
      </c>
      <c r="E290" s="0">
        <f>(SUMIF('2026-07-04'!F3:F96,'Rekap by Type'!C290,'2026-07-04'!I3:I96))</f>
        <v/>
      </c>
      <c r="F290" s="0">
        <f>(SUMIF('2026-07-04'!F3:F96,'Rekap by Type'!C290,'2026-07-04'!J3:J96))</f>
        <v/>
      </c>
      <c r="G290" s="0">
        <f>ROUND(F290/1.11,0)</f>
        <v/>
      </c>
    </row>
    <row r="291" spans="1:7">
      <c r="A291" s="0" t="inlineStr">
        <is>
          <t>SUHY</t>
        </is>
      </c>
      <c r="B291" s="0" t="inlineStr">
        <is>
          <t>LKA</t>
        </is>
      </c>
      <c r="C291" s="0" t="inlineStr">
        <is>
          <t>KOPERASI PCR</t>
        </is>
      </c>
      <c r="D291" s="0">
        <f>(SUMIF('2026-07-04'!F3:F96,'Rekap by Type'!C291,'2026-07-04'!L3:L96))</f>
        <v/>
      </c>
      <c r="E291" s="0">
        <f>(SUMIF('2026-07-04'!F3:F96,'Rekap by Type'!C291,'2026-07-04'!I3:I96))</f>
        <v/>
      </c>
      <c r="F291" s="0">
        <f>(SUMIF('2026-07-04'!F3:F96,'Rekap by Type'!C291,'2026-07-04'!J3:J96))</f>
        <v/>
      </c>
      <c r="G291" s="0">
        <f>ROUND(F291/1.11,0)</f>
        <v/>
      </c>
    </row>
    <row r="292" spans="1:7">
      <c r="A292" s="0" t="inlineStr">
        <is>
          <t>SUHY</t>
        </is>
      </c>
      <c r="B292" s="0" t="inlineStr">
        <is>
          <t>LKA</t>
        </is>
      </c>
      <c r="C292" s="0" t="inlineStr">
        <is>
          <t>HAWAI SWALAYAN GROUP</t>
        </is>
      </c>
      <c r="D292" s="0">
        <f>(SUMIF('2026-07-04'!F3:F96,'Rekap by Type'!C292,'2026-07-04'!L3:L96))</f>
        <v/>
      </c>
      <c r="E292" s="0">
        <f>(SUMIF('2026-07-04'!F3:F96,'Rekap by Type'!C292,'2026-07-04'!I3:I96))</f>
        <v/>
      </c>
      <c r="F292" s="0">
        <f>(SUMIF('2026-07-04'!F3:F96,'Rekap by Type'!C292,'2026-07-04'!J3:J96))</f>
        <v/>
      </c>
      <c r="G292" s="0">
        <f>ROUND(F292/1.11,0)</f>
        <v/>
      </c>
    </row>
    <row r="293" spans="1:7">
      <c r="A293" s="0" t="inlineStr">
        <is>
          <t>SUHY</t>
        </is>
      </c>
      <c r="B293" s="0" t="inlineStr">
        <is>
          <t>LKA</t>
        </is>
      </c>
      <c r="C293" s="0" t="inlineStr">
        <is>
          <t>INDRAGIRI MART</t>
        </is>
      </c>
      <c r="D293" s="0">
        <f>(SUMIF('2026-07-04'!F3:F96,'Rekap by Type'!C293,'2026-07-04'!L3:L96))</f>
        <v/>
      </c>
      <c r="E293" s="0">
        <f>(SUMIF('2026-07-04'!F3:F96,'Rekap by Type'!C293,'2026-07-04'!I3:I96))</f>
        <v/>
      </c>
      <c r="F293" s="0">
        <f>(SUMIF('2026-07-04'!F3:F96,'Rekap by Type'!C293,'2026-07-04'!J3:J96))</f>
        <v/>
      </c>
      <c r="G293" s="0">
        <f>ROUND(F293/1.11,0)</f>
        <v/>
      </c>
    </row>
    <row r="294" spans="1:7">
      <c r="A294" s="0" t="inlineStr">
        <is>
          <t>SUHY</t>
        </is>
      </c>
      <c r="B294" s="0" t="inlineStr">
        <is>
          <t>LKA</t>
        </is>
      </c>
      <c r="C294" s="0" t="inlineStr">
        <is>
          <t>YES SWALAYAN GROUP</t>
        </is>
      </c>
      <c r="D294" s="0">
        <f>(SUMIF('2026-07-04'!F3:F96,'Rekap by Type'!C294,'2026-07-04'!L3:L96))</f>
        <v/>
      </c>
      <c r="E294" s="0">
        <f>(SUMIF('2026-07-04'!F3:F96,'Rekap by Type'!C294,'2026-07-04'!I3:I96))</f>
        <v/>
      </c>
      <c r="F294" s="0">
        <f>(SUMIF('2026-07-04'!F3:F96,'Rekap by Type'!C294,'2026-07-04'!J3:J96))</f>
        <v/>
      </c>
      <c r="G294" s="0">
        <f>ROUND(F294/1.11,0)</f>
        <v/>
      </c>
    </row>
    <row r="295" spans="1:7">
      <c r="A295" s="0" t="inlineStr">
        <is>
          <t>SUHY</t>
        </is>
      </c>
      <c r="B295" s="0" t="inlineStr">
        <is>
          <t>LKA</t>
        </is>
      </c>
      <c r="C295" s="0" t="inlineStr">
        <is>
          <t>BUDIMAN SWALAYAN GROUP PKU</t>
        </is>
      </c>
      <c r="D295" s="0">
        <f>(SUMIF('2026-07-04'!F3:F96,'Rekap by Type'!C295,'2026-07-04'!L3:L96))</f>
        <v/>
      </c>
      <c r="E295" s="0">
        <f>(SUMIF('2026-07-04'!F3:F96,'Rekap by Type'!C295,'2026-07-04'!I3:I96))</f>
        <v/>
      </c>
      <c r="F295" s="0">
        <f>(SUMIF('2026-07-04'!F3:F96,'Rekap by Type'!C295,'2026-07-04'!J3:J96))</f>
        <v/>
      </c>
      <c r="G295" s="0">
        <f>ROUND(F295/1.11,0)</f>
        <v/>
      </c>
    </row>
    <row r="296" spans="1:7">
      <c r="A296" s="0" t="inlineStr">
        <is>
          <t>SUHY</t>
        </is>
      </c>
      <c r="B296" s="0" t="inlineStr">
        <is>
          <t>LKA</t>
        </is>
      </c>
      <c r="C296" s="0" t="inlineStr">
        <is>
          <t>Market City</t>
        </is>
      </c>
      <c r="D296" s="0">
        <f>(SUMIF('2026-07-04'!F3:F96,'Rekap by Type'!C296,'2026-07-04'!L3:L96))</f>
        <v/>
      </c>
      <c r="E296" s="0">
        <f>(SUMIF('2026-07-04'!F3:F96,'Rekap by Type'!C296,'2026-07-04'!I3:I96))</f>
        <v/>
      </c>
      <c r="F296" s="0">
        <f>(SUMIF('2026-07-04'!F3:F96,'Rekap by Type'!C296,'2026-07-04'!J3:J96))</f>
        <v/>
      </c>
      <c r="G296" s="0">
        <f>ROUND(F296/1.11,0)</f>
        <v/>
      </c>
    </row>
    <row r="297" spans="1:7">
      <c r="A297" s="0" t="inlineStr">
        <is>
          <t>SUHY</t>
        </is>
      </c>
      <c r="B297" s="0" t="inlineStr">
        <is>
          <t>LKA</t>
        </is>
      </c>
      <c r="C297" s="0" t="inlineStr">
        <is>
          <t>UD Lestari</t>
        </is>
      </c>
      <c r="D297" s="0">
        <f>(SUMIF('2026-07-04'!F3:F96,'Rekap by Type'!C297,'2026-07-04'!L3:L96))</f>
        <v/>
      </c>
      <c r="E297" s="0">
        <f>(SUMIF('2026-07-04'!F3:F96,'Rekap by Type'!C297,'2026-07-04'!I3:I96))</f>
        <v/>
      </c>
      <c r="F297" s="0">
        <f>(SUMIF('2026-07-04'!F3:F96,'Rekap by Type'!C297,'2026-07-04'!J3:J96))</f>
        <v/>
      </c>
      <c r="G297" s="0">
        <f>ROUND(F297/1.11,0)</f>
        <v/>
      </c>
    </row>
    <row r="298" spans="1:7">
      <c r="A298" s="0" t="inlineStr">
        <is>
          <t>SUHY</t>
        </is>
      </c>
      <c r="B298" s="0" t="inlineStr">
        <is>
          <t>LKA</t>
        </is>
      </c>
      <c r="C298" s="0" t="inlineStr">
        <is>
          <t>Narma Toserba</t>
        </is>
      </c>
      <c r="D298" s="0">
        <f>(SUMIF('2026-07-04'!F3:F96,'Rekap by Type'!C298,'2026-07-04'!L3:L96))</f>
        <v/>
      </c>
      <c r="E298" s="0">
        <f>(SUMIF('2026-07-04'!F3:F96,'Rekap by Type'!C298,'2026-07-04'!I3:I96))</f>
        <v/>
      </c>
      <c r="F298" s="0">
        <f>(SUMIF('2026-07-04'!F3:F96,'Rekap by Type'!C298,'2026-07-04'!J3:J96))</f>
        <v/>
      </c>
      <c r="G298" s="0">
        <f>ROUND(F298/1.11,0)</f>
        <v/>
      </c>
    </row>
    <row r="299" spans="1:7">
      <c r="A299" s="0" t="inlineStr">
        <is>
          <t>SUHY</t>
        </is>
      </c>
      <c r="B299" s="0" t="inlineStr">
        <is>
          <t>LKA</t>
        </is>
      </c>
      <c r="C299" s="0" t="inlineStr">
        <is>
          <t>Famili Mart Tridaya</t>
        </is>
      </c>
      <c r="D299" s="0">
        <f>(SUMIF('2026-07-04'!F3:F96,'Rekap by Type'!C299,'2026-07-04'!L3:L96))</f>
        <v/>
      </c>
      <c r="E299" s="0">
        <f>(SUMIF('2026-07-04'!F3:F96,'Rekap by Type'!C299,'2026-07-04'!I3:I96))</f>
        <v/>
      </c>
      <c r="F299" s="0">
        <f>(SUMIF('2026-07-04'!F3:F96,'Rekap by Type'!C299,'2026-07-04'!J3:J96))</f>
        <v/>
      </c>
      <c r="G299" s="0">
        <f>ROUND(F299/1.11,0)</f>
        <v/>
      </c>
    </row>
    <row r="300" spans="1:7">
      <c r="A300" s="0" t="inlineStr">
        <is>
          <t>SUHY</t>
        </is>
      </c>
      <c r="B300" s="0" t="inlineStr">
        <is>
          <t>LKA</t>
        </is>
      </c>
      <c r="C300" s="0" t="inlineStr">
        <is>
          <t>Papaya Fresh Galery</t>
        </is>
      </c>
      <c r="D300" s="0">
        <f>(SUMIF('2026-07-04'!F3:F96,'Rekap by Type'!C300,'2026-07-04'!L3:L96))</f>
        <v/>
      </c>
      <c r="E300" s="0">
        <f>(SUMIF('2026-07-04'!F3:F96,'Rekap by Type'!C300,'2026-07-04'!I3:I96))</f>
        <v/>
      </c>
      <c r="F300" s="0">
        <f>(SUMIF('2026-07-04'!F3:F96,'Rekap by Type'!C300,'2026-07-04'!J3:J96))</f>
        <v/>
      </c>
      <c r="G300" s="0">
        <f>ROUND(F300/1.11,0)</f>
        <v/>
      </c>
    </row>
    <row r="301" spans="1:7">
      <c r="A301" s="0" t="inlineStr">
        <is>
          <t>SUHY</t>
        </is>
      </c>
      <c r="B301" s="0" t="inlineStr">
        <is>
          <t>LKA</t>
        </is>
      </c>
      <c r="C301" s="0" t="inlineStr">
        <is>
          <t>Toserba Berkah</t>
        </is>
      </c>
      <c r="D301" s="0">
        <f>(SUMIF('2026-07-04'!F3:F96,'Rekap by Type'!C301,'2026-07-04'!L3:L96))</f>
        <v/>
      </c>
      <c r="E301" s="0">
        <f>(SUMIF('2026-07-04'!F3:F96,'Rekap by Type'!C301,'2026-07-04'!I3:I96))</f>
        <v/>
      </c>
      <c r="F301" s="0">
        <f>(SUMIF('2026-07-04'!F3:F96,'Rekap by Type'!C301,'2026-07-04'!J3:J96))</f>
        <v/>
      </c>
      <c r="G301" s="0">
        <f>ROUND(F301/1.11,0)</f>
        <v/>
      </c>
    </row>
    <row r="302" spans="1:7">
      <c r="A302" s="0" t="inlineStr">
        <is>
          <t>SUHY</t>
        </is>
      </c>
      <c r="B302" s="0" t="inlineStr">
        <is>
          <t>LKA</t>
        </is>
      </c>
      <c r="C302" s="0" t="inlineStr">
        <is>
          <t>Frestive</t>
        </is>
      </c>
      <c r="D302" s="0">
        <f>(SUMIF('2026-07-04'!F3:F96,'Rekap by Type'!C302,'2026-07-04'!L3:L96))</f>
        <v/>
      </c>
      <c r="E302" s="0">
        <f>(SUMIF('2026-07-04'!F3:F96,'Rekap by Type'!C302,'2026-07-04'!I3:I96))</f>
        <v/>
      </c>
      <c r="F302" s="0">
        <f>(SUMIF('2026-07-04'!F3:F96,'Rekap by Type'!C302,'2026-07-04'!J3:J96))</f>
        <v/>
      </c>
      <c r="G302" s="0">
        <f>ROUND(F302/1.11,0)</f>
        <v/>
      </c>
    </row>
    <row r="303" spans="1:7">
      <c r="A303" s="0" t="inlineStr">
        <is>
          <t>SUHY</t>
        </is>
      </c>
      <c r="B303" s="0" t="inlineStr">
        <is>
          <t>LKA</t>
        </is>
      </c>
      <c r="C303" s="0" t="inlineStr">
        <is>
          <t>BBX Mart</t>
        </is>
      </c>
      <c r="D303" s="0">
        <f>(SUMIF('2026-07-04'!F3:F96,'Rekap by Type'!C303,'2026-07-04'!L3:L96))</f>
        <v/>
      </c>
      <c r="E303" s="0">
        <f>(SUMIF('2026-07-04'!F3:F96,'Rekap by Type'!C303,'2026-07-04'!I3:I96))</f>
        <v/>
      </c>
      <c r="F303" s="0">
        <f>(SUMIF('2026-07-04'!F3:F96,'Rekap by Type'!C303,'2026-07-04'!J3:J96))</f>
        <v/>
      </c>
      <c r="G303" s="0">
        <f>ROUND(F303/1.11,0)</f>
        <v/>
      </c>
    </row>
    <row r="304" spans="1:7">
      <c r="A304" s="0" t="inlineStr">
        <is>
          <t>SUHY</t>
        </is>
      </c>
      <c r="B304" s="0" t="inlineStr">
        <is>
          <t>LKA</t>
        </is>
      </c>
      <c r="C304" s="0" t="inlineStr">
        <is>
          <t>Koperasi Karyawan Pasific Place</t>
        </is>
      </c>
      <c r="D304" s="0">
        <f>(SUMIF('2026-07-04'!F3:F96,'Rekap by Type'!C304,'2026-07-04'!L3:L96))</f>
        <v/>
      </c>
      <c r="E304" s="0">
        <f>(SUMIF('2026-07-04'!F3:F96,'Rekap by Type'!C304,'2026-07-04'!I3:I96))</f>
        <v/>
      </c>
      <c r="F304" s="0">
        <f>(SUMIF('2026-07-04'!F3:F96,'Rekap by Type'!C304,'2026-07-04'!J3:J96))</f>
        <v/>
      </c>
      <c r="G304" s="0">
        <f>ROUND(F304/1.11,0)</f>
        <v/>
      </c>
    </row>
    <row r="305" spans="1:7">
      <c r="A305" s="0" t="inlineStr">
        <is>
          <t>SUHY</t>
        </is>
      </c>
      <c r="B305" s="0" t="inlineStr">
        <is>
          <t>LKA</t>
        </is>
      </c>
      <c r="C305" s="0" t="inlineStr">
        <is>
          <t>Triwijaya</t>
        </is>
      </c>
      <c r="D305" s="0">
        <f>(SUMIF('2026-07-04'!F3:F96,'Rekap by Type'!C305,'2026-07-04'!L3:L96))</f>
        <v/>
      </c>
      <c r="E305" s="0">
        <f>(SUMIF('2026-07-04'!F3:F96,'Rekap by Type'!C305,'2026-07-04'!I3:I96))</f>
        <v/>
      </c>
      <c r="F305" s="0">
        <f>(SUMIF('2026-07-04'!F3:F96,'Rekap by Type'!C305,'2026-07-04'!J3:J96))</f>
        <v/>
      </c>
      <c r="G305" s="0">
        <f>ROUND(F305/1.11,0)</f>
        <v/>
      </c>
    </row>
    <row r="306" spans="1:7">
      <c r="A306" s="0" t="inlineStr">
        <is>
          <t>SUHY</t>
        </is>
      </c>
      <c r="B306" s="0" t="inlineStr">
        <is>
          <t>LKA</t>
        </is>
      </c>
      <c r="C306" s="0" t="inlineStr">
        <is>
          <t>Santa Swalayan</t>
        </is>
      </c>
      <c r="D306" s="0">
        <f>(SUMIF('2026-07-04'!F3:F96,'Rekap by Type'!C306,'2026-07-04'!L3:L96))</f>
        <v/>
      </c>
      <c r="E306" s="0">
        <f>(SUMIF('2026-07-04'!F3:F96,'Rekap by Type'!C306,'2026-07-04'!I3:I96))</f>
        <v/>
      </c>
      <c r="F306" s="0">
        <f>(SUMIF('2026-07-04'!F3:F96,'Rekap by Type'!C306,'2026-07-04'!J3:J96))</f>
        <v/>
      </c>
      <c r="G306" s="0">
        <f>ROUND(F306/1.11,0)</f>
        <v/>
      </c>
    </row>
    <row r="307" spans="1:7">
      <c r="A307" s="0" t="inlineStr">
        <is>
          <t>SUHY</t>
        </is>
      </c>
      <c r="B307" s="0" t="inlineStr">
        <is>
          <t>LKA</t>
        </is>
      </c>
      <c r="C307" s="0" t="inlineStr">
        <is>
          <t>MCO Mandiri</t>
        </is>
      </c>
      <c r="D307" s="0">
        <f>(SUMIF('2026-07-04'!F3:F96,'Rekap by Type'!C307,'2026-07-04'!L3:L96))</f>
        <v/>
      </c>
      <c r="E307" s="0">
        <f>(SUMIF('2026-07-04'!F3:F96,'Rekap by Type'!C307,'2026-07-04'!I3:I96))</f>
        <v/>
      </c>
      <c r="F307" s="0">
        <f>(SUMIF('2026-07-04'!F3:F96,'Rekap by Type'!C307,'2026-07-04'!J3:J96))</f>
        <v/>
      </c>
      <c r="G307" s="0">
        <f>ROUND(F307/1.11,0)</f>
        <v/>
      </c>
    </row>
    <row r="308" spans="1:7">
      <c r="A308" s="0" t="inlineStr">
        <is>
          <t>SUHY</t>
        </is>
      </c>
      <c r="B308" s="0" t="inlineStr">
        <is>
          <t>LKA</t>
        </is>
      </c>
      <c r="C308" s="0" t="inlineStr">
        <is>
          <t>Daya Mart</t>
        </is>
      </c>
      <c r="D308" s="0">
        <f>(SUMIF('2026-07-04'!F3:F96,'Rekap by Type'!C308,'2026-07-04'!L3:L96))</f>
        <v/>
      </c>
      <c r="E308" s="0">
        <f>(SUMIF('2026-07-04'!F3:F96,'Rekap by Type'!C308,'2026-07-04'!I3:I96))</f>
        <v/>
      </c>
      <c r="F308" s="0">
        <f>(SUMIF('2026-07-04'!F3:F96,'Rekap by Type'!C308,'2026-07-04'!J3:J96))</f>
        <v/>
      </c>
      <c r="G308" s="0">
        <f>ROUND(F308/1.11,0)</f>
        <v/>
      </c>
    </row>
    <row r="309" spans="1:7">
      <c r="A309" s="0" t="inlineStr">
        <is>
          <t>SUHY</t>
        </is>
      </c>
      <c r="B309" s="0" t="inlineStr">
        <is>
          <t>LKA</t>
        </is>
      </c>
      <c r="C309" s="0" t="inlineStr">
        <is>
          <t>TJ MART</t>
        </is>
      </c>
      <c r="D309" s="0">
        <f>(SUMIF('2026-07-04'!F3:F96,'Rekap by Type'!C309,'2026-07-04'!L3:L96))</f>
        <v/>
      </c>
      <c r="E309" s="0">
        <f>(SUMIF('2026-07-04'!F3:F96,'Rekap by Type'!C309,'2026-07-04'!I3:I96))</f>
        <v/>
      </c>
      <c r="F309" s="0">
        <f>(SUMIF('2026-07-04'!F3:F96,'Rekap by Type'!C309,'2026-07-04'!J3:J96))</f>
        <v/>
      </c>
      <c r="G309" s="0">
        <f>ROUND(F309/1.11,0)</f>
        <v/>
      </c>
    </row>
    <row r="310" spans="1:7">
      <c r="A310" s="0" t="inlineStr">
        <is>
          <t>SUHY</t>
        </is>
      </c>
      <c r="B310" s="0" t="inlineStr">
        <is>
          <t>LKA</t>
        </is>
      </c>
      <c r="C310" s="0" t="inlineStr">
        <is>
          <t>BUANA PERKASA</t>
        </is>
      </c>
      <c r="D310" s="0">
        <f>(SUMIF('2026-07-04'!F3:F96,'Rekap by Type'!C310,'2026-07-04'!L3:L96))</f>
        <v/>
      </c>
      <c r="E310" s="0">
        <f>(SUMIF('2026-07-04'!F3:F96,'Rekap by Type'!C310,'2026-07-04'!I3:I96))</f>
        <v/>
      </c>
      <c r="F310" s="0">
        <f>(SUMIF('2026-07-04'!F3:F96,'Rekap by Type'!C310,'2026-07-04'!J3:J96))</f>
        <v/>
      </c>
      <c r="G310" s="0">
        <f>ROUND(F310/1.11,0)</f>
        <v/>
      </c>
    </row>
    <row r="311" spans="1:7">
      <c r="A311" s="0" t="inlineStr">
        <is>
          <t>SUHY</t>
        </is>
      </c>
      <c r="B311" s="0" t="inlineStr">
        <is>
          <t>LKA</t>
        </is>
      </c>
      <c r="C311" s="0" t="inlineStr">
        <is>
          <t>LIANA TOSERBA</t>
        </is>
      </c>
      <c r="D311" s="0">
        <f>(SUMIF('2026-07-04'!F3:F96,'Rekap by Type'!C311,'2026-07-04'!L3:L96))</f>
        <v/>
      </c>
      <c r="E311" s="0">
        <f>(SUMIF('2026-07-04'!F3:F96,'Rekap by Type'!C311,'2026-07-04'!I3:I96))</f>
        <v/>
      </c>
      <c r="F311" s="0">
        <f>(SUMIF('2026-07-04'!F3:F96,'Rekap by Type'!C311,'2026-07-04'!J3:J96))</f>
        <v/>
      </c>
      <c r="G311" s="0">
        <f>ROUND(F311/1.11,0)</f>
        <v/>
      </c>
    </row>
    <row r="312" spans="1:7">
      <c r="A312" s="0" t="inlineStr">
        <is>
          <t>SUHY</t>
        </is>
      </c>
      <c r="B312" s="0" t="inlineStr">
        <is>
          <t>LKA</t>
        </is>
      </c>
      <c r="C312" s="0" t="inlineStr">
        <is>
          <t>SSM DAARUT TAUHIID</t>
        </is>
      </c>
      <c r="D312" s="0">
        <f>(SUMIF('2026-07-04'!F3:F96,'Rekap by Type'!C312,'2026-07-04'!L3:L96))</f>
        <v/>
      </c>
      <c r="E312" s="0">
        <f>(SUMIF('2026-07-04'!F3:F96,'Rekap by Type'!C312,'2026-07-04'!I3:I96))</f>
        <v/>
      </c>
      <c r="F312" s="0">
        <f>(SUMIF('2026-07-04'!F3:F96,'Rekap by Type'!C312,'2026-07-04'!J3:J96))</f>
        <v/>
      </c>
      <c r="G312" s="0">
        <f>ROUND(F312/1.11,0)</f>
        <v/>
      </c>
    </row>
    <row r="313" spans="1:7">
      <c r="A313" s="0" t="inlineStr">
        <is>
          <t>SUHY</t>
        </is>
      </c>
      <c r="B313" s="0" t="inlineStr">
        <is>
          <t>LKA</t>
        </is>
      </c>
      <c r="C313" s="0" t="inlineStr">
        <is>
          <t>NANAKAM</t>
        </is>
      </c>
      <c r="D313" s="0">
        <f>(SUMIF('2026-07-04'!F3:F96,'Rekap by Type'!C313,'2026-07-04'!L3:L96))</f>
        <v/>
      </c>
      <c r="E313" s="0">
        <f>(SUMIF('2026-07-04'!F3:F96,'Rekap by Type'!C313,'2026-07-04'!I3:I96))</f>
        <v/>
      </c>
      <c r="F313" s="0">
        <f>(SUMIF('2026-07-04'!F3:F96,'Rekap by Type'!C313,'2026-07-04'!J3:J96))</f>
        <v/>
      </c>
      <c r="G313" s="0">
        <f>ROUND(F313/1.11,0)</f>
        <v/>
      </c>
    </row>
    <row r="314" spans="1:7">
      <c r="A314" s="0" t="inlineStr">
        <is>
          <t>SUHY</t>
        </is>
      </c>
      <c r="B314" s="0" t="inlineStr">
        <is>
          <t>LKA</t>
        </is>
      </c>
      <c r="C314" s="0" t="inlineStr">
        <is>
          <t>MARANATHA STORE</t>
        </is>
      </c>
      <c r="D314" s="0">
        <f>(SUMIF('2026-07-04'!F3:F96,'Rekap by Type'!C314,'2026-07-04'!L3:L96))</f>
        <v/>
      </c>
      <c r="E314" s="0">
        <f>(SUMIF('2026-07-04'!F3:F96,'Rekap by Type'!C314,'2026-07-04'!I3:I96))</f>
        <v/>
      </c>
      <c r="F314" s="0">
        <f>(SUMIF('2026-07-04'!F3:F96,'Rekap by Type'!C314,'2026-07-04'!J3:J96))</f>
        <v/>
      </c>
      <c r="G314" s="0">
        <f>ROUND(F314/1.11,0)</f>
        <v/>
      </c>
    </row>
    <row r="315" spans="1:7">
      <c r="A315" s="0" t="inlineStr">
        <is>
          <t>SUHY</t>
        </is>
      </c>
      <c r="B315" s="0" t="inlineStr">
        <is>
          <t>LKA</t>
        </is>
      </c>
      <c r="C315" s="0" t="inlineStr">
        <is>
          <t>Loka Supermarket</t>
        </is>
      </c>
      <c r="D315" s="0">
        <f>(SUMIF('2026-07-04'!F3:F96,'Rekap by Type'!C315,'2026-07-04'!L3:L96))</f>
        <v/>
      </c>
      <c r="E315" s="0">
        <f>(SUMIF('2026-07-04'!F3:F96,'Rekap by Type'!C315,'2026-07-04'!I3:I96))</f>
        <v/>
      </c>
      <c r="F315" s="0">
        <f>(SUMIF('2026-07-04'!F3:F96,'Rekap by Type'!C315,'2026-07-04'!J3:J96))</f>
        <v/>
      </c>
      <c r="G315" s="0">
        <f>ROUND(F315/1.11,0)</f>
        <v/>
      </c>
    </row>
    <row r="316" spans="1:7">
      <c r="A316" s="0" t="inlineStr">
        <is>
          <t>SUHY</t>
        </is>
      </c>
      <c r="B316" s="0" t="inlineStr">
        <is>
          <t>LKA</t>
        </is>
      </c>
      <c r="C316" s="0" t="inlineStr">
        <is>
          <t>Ahad Mart</t>
        </is>
      </c>
      <c r="D316" s="0">
        <f>(SUMIF('2026-07-04'!F3:F96,'Rekap by Type'!C316,'2026-07-04'!L3:L96))</f>
        <v/>
      </c>
      <c r="E316" s="0">
        <f>(SUMIF('2026-07-04'!F3:F96,'Rekap by Type'!C316,'2026-07-04'!I3:I96))</f>
        <v/>
      </c>
      <c r="F316" s="0">
        <f>(SUMIF('2026-07-04'!F3:F96,'Rekap by Type'!C316,'2026-07-04'!J3:J96))</f>
        <v/>
      </c>
      <c r="G316" s="0">
        <f>ROUND(F316/1.11,0)</f>
        <v/>
      </c>
    </row>
    <row r="317" spans="1:7">
      <c r="A317" s="0" t="inlineStr">
        <is>
          <t>SUHY</t>
        </is>
      </c>
      <c r="B317" s="0" t="inlineStr">
        <is>
          <t>LKA</t>
        </is>
      </c>
      <c r="C317" s="0" t="inlineStr">
        <is>
          <t>Toko Kemanggisan</t>
        </is>
      </c>
      <c r="D317" s="0">
        <f>(SUMIF('2026-07-04'!F3:F96,'Rekap by Type'!C317,'2026-07-04'!L3:L96))</f>
        <v/>
      </c>
      <c r="E317" s="0">
        <f>(SUMIF('2026-07-04'!F3:F96,'Rekap by Type'!C317,'2026-07-04'!I3:I96))</f>
        <v/>
      </c>
      <c r="F317" s="0">
        <f>(SUMIF('2026-07-04'!F3:F96,'Rekap by Type'!C317,'2026-07-04'!J3:J96))</f>
        <v/>
      </c>
      <c r="G317" s="0">
        <f>ROUND(F317/1.11,0)</f>
        <v/>
      </c>
    </row>
    <row r="318" spans="1:7">
      <c r="A318" s="0" t="inlineStr">
        <is>
          <t>SUHY</t>
        </is>
      </c>
      <c r="B318" s="0" t="inlineStr">
        <is>
          <t>LKA</t>
        </is>
      </c>
      <c r="C318" s="0" t="inlineStr">
        <is>
          <t>Hapimart</t>
        </is>
      </c>
      <c r="D318" s="0">
        <f>(SUMIF('2026-07-04'!F3:F96,'Rekap by Type'!C318,'2026-07-04'!L3:L96))</f>
        <v/>
      </c>
      <c r="E318" s="0">
        <f>(SUMIF('2026-07-04'!F3:F96,'Rekap by Type'!C318,'2026-07-04'!I3:I96))</f>
        <v/>
      </c>
      <c r="F318" s="0">
        <f>(SUMIF('2026-07-04'!F3:F96,'Rekap by Type'!C318,'2026-07-04'!J3:J96))</f>
        <v/>
      </c>
      <c r="G318" s="0">
        <f>ROUND(F318/1.11,0)</f>
        <v/>
      </c>
    </row>
    <row r="319" spans="1:7">
      <c r="A319" s="0" t="inlineStr">
        <is>
          <t>SUHY</t>
        </is>
      </c>
      <c r="B319" s="0" t="inlineStr">
        <is>
          <t>LKA</t>
        </is>
      </c>
      <c r="C319" s="0" t="inlineStr">
        <is>
          <t>Top Buah Segar</t>
        </is>
      </c>
      <c r="D319" s="0">
        <f>(SUMIF('2026-07-04'!F3:F96,'Rekap by Type'!C319,'2026-07-04'!L3:L96))</f>
        <v/>
      </c>
      <c r="E319" s="0">
        <f>(SUMIF('2026-07-04'!F3:F96,'Rekap by Type'!C319,'2026-07-04'!I3:I96))</f>
        <v/>
      </c>
      <c r="F319" s="0">
        <f>(SUMIF('2026-07-04'!F3:F96,'Rekap by Type'!C319,'2026-07-04'!J3:J96))</f>
        <v/>
      </c>
      <c r="G319" s="0">
        <f>ROUND(F319/1.11,0)</f>
        <v/>
      </c>
    </row>
    <row r="320" spans="1:7">
      <c r="A320" s="0" t="inlineStr">
        <is>
          <t>SUHY</t>
        </is>
      </c>
      <c r="B320" s="0" t="inlineStr">
        <is>
          <t>LKA</t>
        </is>
      </c>
      <c r="C320" s="0" t="inlineStr">
        <is>
          <t>Jakarta Fruit Market</t>
        </is>
      </c>
      <c r="D320" s="0">
        <f>(SUMIF('2026-07-04'!F3:F96,'Rekap by Type'!C320,'2026-07-04'!L3:L96))</f>
        <v/>
      </c>
      <c r="E320" s="0">
        <f>(SUMIF('2026-07-04'!F3:F96,'Rekap by Type'!C320,'2026-07-04'!I3:I96))</f>
        <v/>
      </c>
      <c r="F320" s="0">
        <f>(SUMIF('2026-07-04'!F3:F96,'Rekap by Type'!C320,'2026-07-04'!J3:J96))</f>
        <v/>
      </c>
      <c r="G320" s="0">
        <f>ROUND(F320/1.11,0)</f>
        <v/>
      </c>
    </row>
    <row r="321" spans="1:7">
      <c r="A321" s="0" t="inlineStr">
        <is>
          <t>SUHY</t>
        </is>
      </c>
      <c r="B321" s="0" t="inlineStr">
        <is>
          <t>LKA</t>
        </is>
      </c>
      <c r="C321" s="0" t="inlineStr">
        <is>
          <t>Toserba Gading</t>
        </is>
      </c>
      <c r="D321" s="0">
        <f>(SUMIF('2026-07-04'!F3:F96,'Rekap by Type'!C321,'2026-07-04'!L3:L96))</f>
        <v/>
      </c>
      <c r="E321" s="0">
        <f>(SUMIF('2026-07-04'!F3:F96,'Rekap by Type'!C321,'2026-07-04'!I3:I96))</f>
        <v/>
      </c>
      <c r="F321" s="0">
        <f>(SUMIF('2026-07-04'!F3:F96,'Rekap by Type'!C321,'2026-07-04'!J3:J96))</f>
        <v/>
      </c>
      <c r="G321" s="0">
        <f>ROUND(F321/1.11,0)</f>
        <v/>
      </c>
    </row>
    <row r="322" spans="1:7">
      <c r="A322" s="0" t="inlineStr">
        <is>
          <t>SUHY</t>
        </is>
      </c>
      <c r="B322" s="0" t="inlineStr">
        <is>
          <t>LKA</t>
        </is>
      </c>
      <c r="C322" s="0" t="inlineStr">
        <is>
          <t>Benny Mart</t>
        </is>
      </c>
      <c r="D322" s="0">
        <f>(SUMIF('2026-07-04'!F3:F96,'Rekap by Type'!C322,'2026-07-04'!L3:L96))</f>
        <v/>
      </c>
      <c r="E322" s="0">
        <f>(SUMIF('2026-07-04'!F3:F96,'Rekap by Type'!C322,'2026-07-04'!I3:I96))</f>
        <v/>
      </c>
      <c r="F322" s="0">
        <f>(SUMIF('2026-07-04'!F3:F96,'Rekap by Type'!C322,'2026-07-04'!J3:J96))</f>
        <v/>
      </c>
      <c r="G322" s="0">
        <f>ROUND(F322/1.11,0)</f>
        <v/>
      </c>
    </row>
    <row r="323" spans="1:7">
      <c r="A323" s="0" t="inlineStr">
        <is>
          <t>SUHY</t>
        </is>
      </c>
      <c r="B323" s="0" t="inlineStr">
        <is>
          <t>LKA</t>
        </is>
      </c>
      <c r="C323" s="0" t="inlineStr">
        <is>
          <t>Total Buah Segar</t>
        </is>
      </c>
      <c r="D323" s="0">
        <f>(SUMIF('2026-07-04'!F3:F96,'Rekap by Type'!C323,'2026-07-04'!L3:L96))</f>
        <v/>
      </c>
      <c r="E323" s="0">
        <f>(SUMIF('2026-07-04'!F3:F96,'Rekap by Type'!C323,'2026-07-04'!I3:I96))</f>
        <v/>
      </c>
      <c r="F323" s="0">
        <f>(SUMIF('2026-07-04'!F3:F96,'Rekap by Type'!C323,'2026-07-04'!J3:J96))</f>
        <v/>
      </c>
      <c r="G323" s="0">
        <f>ROUND(F323/1.11,0)</f>
        <v/>
      </c>
    </row>
    <row r="324" spans="1:7">
      <c r="A324" s="0" t="inlineStr">
        <is>
          <t>SUHY</t>
        </is>
      </c>
      <c r="B324" s="0" t="inlineStr">
        <is>
          <t>LKA</t>
        </is>
      </c>
      <c r="C324" s="0" t="inlineStr">
        <is>
          <t>Rumah Buah</t>
        </is>
      </c>
      <c r="D324" s="0">
        <f>(SUMIF('2026-07-04'!F3:F96,'Rekap by Type'!C324,'2026-07-04'!L3:L96))</f>
        <v/>
      </c>
      <c r="E324" s="0">
        <f>(SUMIF('2026-07-04'!F3:F96,'Rekap by Type'!C324,'2026-07-04'!I3:I96))</f>
        <v/>
      </c>
      <c r="F324" s="0">
        <f>(SUMIF('2026-07-04'!F3:F96,'Rekap by Type'!C324,'2026-07-04'!J3:J96))</f>
        <v/>
      </c>
      <c r="G324" s="0">
        <f>ROUND(F324/1.11,0)</f>
        <v/>
      </c>
    </row>
    <row r="325" spans="1:7">
      <c r="A325" s="0" t="inlineStr">
        <is>
          <t>SUHY</t>
        </is>
      </c>
      <c r="B325" s="0" t="inlineStr">
        <is>
          <t>LKA</t>
        </is>
      </c>
      <c r="C325" s="0" t="inlineStr">
        <is>
          <t>Arundina Mart</t>
        </is>
      </c>
      <c r="D325" s="0">
        <f>(SUMIF('2026-07-04'!F3:F96,'Rekap by Type'!C325,'2026-07-04'!L3:L96))</f>
        <v/>
      </c>
      <c r="E325" s="0">
        <f>(SUMIF('2026-07-04'!F3:F96,'Rekap by Type'!C325,'2026-07-04'!I3:I96))</f>
        <v/>
      </c>
      <c r="F325" s="0">
        <f>(SUMIF('2026-07-04'!F3:F96,'Rekap by Type'!C325,'2026-07-04'!J3:J96))</f>
        <v/>
      </c>
      <c r="G325" s="0">
        <f>ROUND(F325/1.11,0)</f>
        <v/>
      </c>
    </row>
    <row r="326" spans="1:7">
      <c r="A326" s="0" t="inlineStr">
        <is>
          <t>SUHY</t>
        </is>
      </c>
      <c r="B326" s="0" t="inlineStr">
        <is>
          <t>LKA</t>
        </is>
      </c>
      <c r="C326" s="0" t="inlineStr">
        <is>
          <t>Toko Yan</t>
        </is>
      </c>
      <c r="D326" s="0">
        <f>(SUMIF('2026-07-04'!F3:F96,'Rekap by Type'!C326,'2026-07-04'!L3:L96))</f>
        <v/>
      </c>
      <c r="E326" s="0">
        <f>(SUMIF('2026-07-04'!F3:F96,'Rekap by Type'!C326,'2026-07-04'!I3:I96))</f>
        <v/>
      </c>
      <c r="F326" s="0">
        <f>(SUMIF('2026-07-04'!F3:F96,'Rekap by Type'!C326,'2026-07-04'!J3:J96))</f>
        <v/>
      </c>
      <c r="G326" s="0">
        <f>ROUND(F326/1.11,0)</f>
        <v/>
      </c>
    </row>
    <row r="327" spans="1:7">
      <c r="A327" s="0" t="inlineStr">
        <is>
          <t>SUHY</t>
        </is>
      </c>
      <c r="B327" s="0" t="inlineStr">
        <is>
          <t>LKA</t>
        </is>
      </c>
      <c r="C327" s="0" t="inlineStr">
        <is>
          <t>Pelangi Swalayan</t>
        </is>
      </c>
      <c r="D327" s="0">
        <f>(SUMIF('2026-07-04'!F3:F96,'Rekap by Type'!C327,'2026-07-04'!L3:L96))</f>
        <v/>
      </c>
      <c r="E327" s="0">
        <f>(SUMIF('2026-07-04'!F3:F96,'Rekap by Type'!C327,'2026-07-04'!I3:I96))</f>
        <v/>
      </c>
      <c r="F327" s="0">
        <f>(SUMIF('2026-07-04'!F3:F96,'Rekap by Type'!C327,'2026-07-04'!J3:J96))</f>
        <v/>
      </c>
      <c r="G327" s="0">
        <f>ROUND(F327/1.11,0)</f>
        <v/>
      </c>
    </row>
    <row r="328" spans="1:7">
      <c r="A328" s="0" t="inlineStr">
        <is>
          <t>SUHY</t>
        </is>
      </c>
      <c r="B328" s="0" t="inlineStr">
        <is>
          <t>LKA</t>
        </is>
      </c>
      <c r="C328" s="0" t="inlineStr">
        <is>
          <t>PAMELA GROUP</t>
        </is>
      </c>
      <c r="D328" s="0">
        <f>(SUMIF('2026-07-04'!F3:F96,'Rekap by Type'!C328,'2026-07-04'!L3:L96))</f>
        <v/>
      </c>
      <c r="E328" s="0">
        <f>(SUMIF('2026-07-04'!F3:F96,'Rekap by Type'!C328,'2026-07-04'!I3:I96))</f>
        <v/>
      </c>
      <c r="F328" s="0">
        <f>(SUMIF('2026-07-04'!F3:F96,'Rekap by Type'!C328,'2026-07-04'!J3:J96))</f>
        <v/>
      </c>
      <c r="G328" s="0">
        <f>ROUND(F328/1.11,0)</f>
        <v/>
      </c>
    </row>
    <row r="329" spans="1:7">
      <c r="A329" s="0" t="inlineStr">
        <is>
          <t>SUHY</t>
        </is>
      </c>
      <c r="B329" s="0" t="inlineStr">
        <is>
          <t>LKA</t>
        </is>
      </c>
      <c r="C329" s="0" t="inlineStr">
        <is>
          <t>MIROTA PASARAYA GROUP</t>
        </is>
      </c>
      <c r="D329" s="0">
        <f>(SUMIF('2026-07-04'!F3:F96,'Rekap by Type'!C329,'2026-07-04'!L3:L96))</f>
        <v/>
      </c>
      <c r="E329" s="0">
        <f>(SUMIF('2026-07-04'!F3:F96,'Rekap by Type'!C329,'2026-07-04'!I3:I96))</f>
        <v/>
      </c>
      <c r="F329" s="0">
        <f>(SUMIF('2026-07-04'!F3:F96,'Rekap by Type'!C329,'2026-07-04'!J3:J96))</f>
        <v/>
      </c>
      <c r="G329" s="0">
        <f>ROUND(F329/1.11,0)</f>
        <v/>
      </c>
    </row>
    <row r="330" spans="1:7">
      <c r="A330" s="0" t="inlineStr">
        <is>
          <t>SUHY</t>
        </is>
      </c>
      <c r="B330" s="0" t="inlineStr">
        <is>
          <t>LKA</t>
        </is>
      </c>
      <c r="C330" s="0" t="inlineStr">
        <is>
          <t>PURNAMA GROUP</t>
        </is>
      </c>
      <c r="D330" s="0">
        <f>(SUMIF('2026-07-04'!F3:F96,'Rekap by Type'!C330,'2026-07-04'!L3:L96))</f>
        <v/>
      </c>
      <c r="E330" s="0">
        <f>(SUMIF('2026-07-04'!F3:F96,'Rekap by Type'!C330,'2026-07-04'!I3:I96))</f>
        <v/>
      </c>
      <c r="F330" s="0">
        <f>(SUMIF('2026-07-04'!F3:F96,'Rekap by Type'!C330,'2026-07-04'!J3:J96))</f>
        <v/>
      </c>
      <c r="G330" s="0">
        <f>ROUND(F330/1.11,0)</f>
        <v/>
      </c>
    </row>
    <row r="331" spans="1:7">
      <c r="A331" s="0" t="inlineStr">
        <is>
          <t>SUHY</t>
        </is>
      </c>
      <c r="B331" s="0" t="inlineStr">
        <is>
          <t>LKA</t>
        </is>
      </c>
      <c r="C331" s="0" t="inlineStr">
        <is>
          <t>RITA GROUP</t>
        </is>
      </c>
      <c r="D331" s="0">
        <f>(SUMIF('2026-07-04'!F3:F96,'Rekap by Type'!C331,'2026-07-04'!L3:L96))</f>
        <v/>
      </c>
      <c r="E331" s="0">
        <f>(SUMIF('2026-07-04'!F3:F96,'Rekap by Type'!C331,'2026-07-04'!I3:I96))</f>
        <v/>
      </c>
      <c r="F331" s="0">
        <f>(SUMIF('2026-07-04'!F3:F96,'Rekap by Type'!C331,'2026-07-04'!J3:J96))</f>
        <v/>
      </c>
      <c r="G331" s="0">
        <f>ROUND(F331/1.11,0)</f>
        <v/>
      </c>
    </row>
    <row r="332" spans="1:7">
      <c r="A332" s="0" t="inlineStr">
        <is>
          <t>SUHY</t>
        </is>
      </c>
      <c r="B332" s="0" t="inlineStr">
        <is>
          <t>LKA</t>
        </is>
      </c>
      <c r="C332" s="0" t="inlineStr">
        <is>
          <t>HS TOSERBA</t>
        </is>
      </c>
      <c r="D332" s="0">
        <f>(SUMIF('2026-07-04'!F3:F96,'Rekap by Type'!C332,'2026-07-04'!L3:L96))</f>
        <v/>
      </c>
      <c r="E332" s="0">
        <f>(SUMIF('2026-07-04'!F3:F96,'Rekap by Type'!C332,'2026-07-04'!I3:I96))</f>
        <v/>
      </c>
      <c r="F332" s="0">
        <f>(SUMIF('2026-07-04'!F3:F96,'Rekap by Type'!C332,'2026-07-04'!J3:J96))</f>
        <v/>
      </c>
      <c r="G332" s="0">
        <f>ROUND(F332/1.11,0)</f>
        <v/>
      </c>
    </row>
    <row r="333" spans="1:7">
      <c r="A333" s="0" t="inlineStr">
        <is>
          <t>SUHY</t>
        </is>
      </c>
      <c r="B333" s="0" t="inlineStr">
        <is>
          <t>LKA</t>
        </is>
      </c>
      <c r="C333" s="0" t="inlineStr">
        <is>
          <t>ATRIA TOSERBA</t>
        </is>
      </c>
      <c r="D333" s="0">
        <f>(SUMIF('2026-07-04'!F3:F96,'Rekap by Type'!C333,'2026-07-04'!L3:L96))</f>
        <v/>
      </c>
      <c r="E333" s="0">
        <f>(SUMIF('2026-07-04'!F3:F96,'Rekap by Type'!C333,'2026-07-04'!I3:I96))</f>
        <v/>
      </c>
      <c r="F333" s="0">
        <f>(SUMIF('2026-07-04'!F3:F96,'Rekap by Type'!C333,'2026-07-04'!J3:J96))</f>
        <v/>
      </c>
      <c r="G333" s="0">
        <f>ROUND(F333/1.11,0)</f>
        <v/>
      </c>
    </row>
    <row r="334" spans="1:7">
      <c r="A334" s="0" t="inlineStr">
        <is>
          <t>SUHY</t>
        </is>
      </c>
      <c r="B334" s="0" t="inlineStr">
        <is>
          <t>LKA</t>
        </is>
      </c>
      <c r="C334" s="0" t="inlineStr">
        <is>
          <t>MITRA SWALAYAN</t>
        </is>
      </c>
      <c r="D334" s="0">
        <f>(SUMIF('2026-07-04'!F3:F96,'Rekap by Type'!C334,'2026-07-04'!L3:L96))</f>
        <v/>
      </c>
      <c r="E334" s="0">
        <f>(SUMIF('2026-07-04'!F3:F96,'Rekap by Type'!C334,'2026-07-04'!I3:I96))</f>
        <v/>
      </c>
      <c r="F334" s="0">
        <f>(SUMIF('2026-07-04'!F3:F96,'Rekap by Type'!C334,'2026-07-04'!J3:J96))</f>
        <v/>
      </c>
      <c r="G334" s="0">
        <f>ROUND(F334/1.11,0)</f>
        <v/>
      </c>
    </row>
    <row r="335" spans="1:7">
      <c r="A335" s="0" t="inlineStr">
        <is>
          <t>SUHY</t>
        </is>
      </c>
      <c r="B335" s="0" t="inlineStr">
        <is>
          <t>LKA</t>
        </is>
      </c>
      <c r="C335" s="0" t="inlineStr">
        <is>
          <t>LARIS SWALAYAN</t>
        </is>
      </c>
      <c r="D335" s="0">
        <f>(SUMIF('2026-07-04'!F3:F96,'Rekap by Type'!C335,'2026-07-04'!L3:L96))</f>
        <v/>
      </c>
      <c r="E335" s="0">
        <f>(SUMIF('2026-07-04'!F3:F96,'Rekap by Type'!C335,'2026-07-04'!I3:I96))</f>
        <v/>
      </c>
      <c r="F335" s="0">
        <f>(SUMIF('2026-07-04'!F3:F96,'Rekap by Type'!C335,'2026-07-04'!J3:J96))</f>
        <v/>
      </c>
      <c r="G335" s="0">
        <f>ROUND(F335/1.11,0)</f>
        <v/>
      </c>
    </row>
    <row r="336" spans="1:7">
      <c r="A336" s="0" t="inlineStr">
        <is>
          <t>SUHY</t>
        </is>
      </c>
      <c r="B336" s="0" t="inlineStr">
        <is>
          <t>LKA</t>
        </is>
      </c>
      <c r="C336" s="0" t="inlineStr">
        <is>
          <t>DM SWALAYAN GROUP</t>
        </is>
      </c>
      <c r="D336" s="0">
        <f>(SUMIF('2026-07-04'!F3:F96,'Rekap by Type'!C336,'2026-07-04'!L3:L96))</f>
        <v/>
      </c>
      <c r="E336" s="0">
        <f>(SUMIF('2026-07-04'!F3:F96,'Rekap by Type'!C336,'2026-07-04'!I3:I96))</f>
        <v/>
      </c>
      <c r="F336" s="0">
        <f>(SUMIF('2026-07-04'!F3:F96,'Rekap by Type'!C336,'2026-07-04'!J3:J96))</f>
        <v/>
      </c>
      <c r="G336" s="0">
        <f>ROUND(F336/1.11,0)</f>
        <v/>
      </c>
    </row>
    <row r="337" spans="1:7">
      <c r="A337" s="0" t="inlineStr">
        <is>
          <t>SUHY</t>
        </is>
      </c>
      <c r="B337" s="0" t="inlineStr">
        <is>
          <t>LKA</t>
        </is>
      </c>
      <c r="C337" s="0" t="inlineStr">
        <is>
          <t>KINGSMART CAMPURDARAT</t>
        </is>
      </c>
      <c r="D337" s="0">
        <f>(SUMIF('2026-07-04'!F3:F96,'Rekap by Type'!C337,'2026-07-04'!L3:L96))</f>
        <v/>
      </c>
      <c r="E337" s="0">
        <f>(SUMIF('2026-07-04'!F3:F96,'Rekap by Type'!C337,'2026-07-04'!I3:I96))</f>
        <v/>
      </c>
      <c r="F337" s="0">
        <f>(SUMIF('2026-07-04'!F3:F96,'Rekap by Type'!C337,'2026-07-04'!J3:J96))</f>
        <v/>
      </c>
      <c r="G337" s="0">
        <f>ROUND(F337/1.11,0)</f>
        <v/>
      </c>
    </row>
    <row r="338" spans="1:7">
      <c r="A338" s="0" t="inlineStr">
        <is>
          <t>SUHY</t>
        </is>
      </c>
      <c r="B338" s="0" t="inlineStr">
        <is>
          <t>LKA</t>
        </is>
      </c>
      <c r="C338" s="0" t="inlineStr">
        <is>
          <t>TANOSHI MULYA JAYA</t>
        </is>
      </c>
      <c r="D338" s="0">
        <f>(SUMIF('2026-07-04'!F3:F96,'Rekap by Type'!C338,'2026-07-04'!L3:L96))</f>
        <v/>
      </c>
      <c r="E338" s="0">
        <f>(SUMIF('2026-07-04'!F3:F96,'Rekap by Type'!C338,'2026-07-04'!I3:I96))</f>
        <v/>
      </c>
      <c r="F338" s="0">
        <f>(SUMIF('2026-07-04'!F3:F96,'Rekap by Type'!C338,'2026-07-04'!J3:J96))</f>
        <v/>
      </c>
      <c r="G338" s="0">
        <f>ROUND(F338/1.11,0)</f>
        <v/>
      </c>
    </row>
    <row r="339" spans="1:7">
      <c r="A339" s="0" t="inlineStr">
        <is>
          <t>SUHY</t>
        </is>
      </c>
      <c r="B339" s="0" t="inlineStr">
        <is>
          <t>LKA</t>
        </is>
      </c>
      <c r="C339" s="0" t="inlineStr">
        <is>
          <t>SUMBER MAKMUR AGUNG</t>
        </is>
      </c>
      <c r="D339" s="0">
        <f>(SUMIF('2026-07-04'!F3:F96,'Rekap by Type'!C339,'2026-07-04'!L3:L96))</f>
        <v/>
      </c>
      <c r="E339" s="0">
        <f>(SUMIF('2026-07-04'!F3:F96,'Rekap by Type'!C339,'2026-07-04'!I3:I96))</f>
        <v/>
      </c>
      <c r="F339" s="0">
        <f>(SUMIF('2026-07-04'!F3:F96,'Rekap by Type'!C339,'2026-07-04'!J3:J96))</f>
        <v/>
      </c>
      <c r="G339" s="0">
        <f>ROUND(F339/1.11,0)</f>
        <v/>
      </c>
    </row>
    <row r="340" spans="1:7">
      <c r="A340" s="0" t="inlineStr">
        <is>
          <t>SUHY</t>
        </is>
      </c>
      <c r="B340" s="0" t="inlineStr">
        <is>
          <t>LKA</t>
        </is>
      </c>
      <c r="C340" s="0" t="inlineStr">
        <is>
          <t>ELMONA MART</t>
        </is>
      </c>
      <c r="D340" s="0">
        <f>(SUMIF('2026-07-04'!F3:F96,'Rekap by Type'!C340,'2026-07-04'!L3:L96))</f>
        <v/>
      </c>
      <c r="E340" s="0">
        <f>(SUMIF('2026-07-04'!F3:F96,'Rekap by Type'!C340,'2026-07-04'!I3:I96))</f>
        <v/>
      </c>
      <c r="F340" s="0">
        <f>(SUMIF('2026-07-04'!F3:F96,'Rekap by Type'!C340,'2026-07-04'!J3:J96))</f>
        <v/>
      </c>
      <c r="G340" s="0">
        <f>ROUND(F340/1.11,0)</f>
        <v/>
      </c>
    </row>
    <row r="341" spans="1:7">
      <c r="A341" s="0" t="inlineStr">
        <is>
          <t>SUHY</t>
        </is>
      </c>
      <c r="B341" s="0" t="inlineStr">
        <is>
          <t>LKA</t>
        </is>
      </c>
      <c r="C341" s="0" t="inlineStr">
        <is>
          <t>AMANAH TOSERBA</t>
        </is>
      </c>
      <c r="D341" s="0">
        <f>(SUMIF('2026-07-04'!F3:F96,'Rekap by Type'!C341,'2026-07-04'!L3:L96))</f>
        <v/>
      </c>
      <c r="E341" s="0">
        <f>(SUMIF('2026-07-04'!F3:F96,'Rekap by Type'!C341,'2026-07-04'!I3:I96))</f>
        <v/>
      </c>
      <c r="F341" s="0">
        <f>(SUMIF('2026-07-04'!F3:F96,'Rekap by Type'!C341,'2026-07-04'!J3:J96))</f>
        <v/>
      </c>
      <c r="G341" s="0">
        <f>ROUND(F341/1.11,0)</f>
        <v/>
      </c>
    </row>
    <row r="342" spans="1:7">
      <c r="A342" s="0" t="inlineStr">
        <is>
          <t>AGENT</t>
        </is>
      </c>
      <c r="B342" s="0" t="inlineStr">
        <is>
          <t>AGENT ROBAK</t>
        </is>
      </c>
      <c r="C342" s="0" t="inlineStr">
        <is>
          <t>AGENT ROBAK</t>
        </is>
      </c>
      <c r="D342" s="0">
        <f>(SUMIF('2026-07-04'!F3:F96,'Rekap by Type'!C342,'2026-07-04'!L3:L96))</f>
        <v/>
      </c>
      <c r="E342" s="0">
        <f>(SUMIF('2026-07-04'!F3:F96,'Rekap by Type'!C342,'2026-07-04'!I3:I96))</f>
        <v/>
      </c>
      <c r="F342" s="0">
        <f>(SUMIF('2026-07-04'!F3:F96,'Rekap by Type'!C342,'2026-07-04'!J3:J96))</f>
        <v/>
      </c>
      <c r="G342" s="0">
        <f>ROUND(F342/1.11,0)</f>
        <v/>
      </c>
    </row>
    <row r="343" spans="1:7">
      <c r="A343" s="0" t="inlineStr">
        <is>
          <t>PRIVATE LABEL</t>
        </is>
      </c>
      <c r="B343" s="0" t="inlineStr">
        <is>
          <t>Sari Choco Sub-Dist</t>
        </is>
      </c>
      <c r="C343" s="0" t="inlineStr">
        <is>
          <t>MITRA DISTRIBUTOR INNDI</t>
        </is>
      </c>
      <c r="D343" s="0">
        <f>(SUMIF('2026-07-04'!F3:F96,'Rekap by Type'!C343,'2026-07-04'!L3:L96))</f>
        <v/>
      </c>
      <c r="E343" s="0">
        <f>(SUMIF('2026-07-04'!F3:F96,'Rekap by Type'!C343,'2026-07-04'!I3:I96))</f>
        <v/>
      </c>
      <c r="F343" s="0">
        <f>(SUMIF('2026-07-04'!F3:F96,'Rekap by Type'!C343,'2026-07-04'!J3:J96))</f>
        <v/>
      </c>
      <c r="G343" s="0">
        <f>ROUND(F343/1.11,0)</f>
        <v/>
      </c>
    </row>
    <row r="344" spans="1:7">
      <c r="A344" s="0" t="inlineStr">
        <is>
          <t>PRIVATE LABEL</t>
        </is>
      </c>
      <c r="B344" s="0" t="inlineStr">
        <is>
          <t>Sari Choco Sub-Dist</t>
        </is>
      </c>
      <c r="C344" s="0" t="inlineStr">
        <is>
          <t>MITRA DISTRIBUTOR GT INN</t>
        </is>
      </c>
      <c r="D344" s="0">
        <f>(SUMIF('2026-07-04'!F3:F96,'Rekap by Type'!C344,'2026-07-04'!L3:L96))</f>
        <v/>
      </c>
      <c r="E344" s="0">
        <f>(SUMIF('2026-07-04'!F3:F96,'Rekap by Type'!C344,'2026-07-04'!I3:I96))</f>
        <v/>
      </c>
      <c r="F344" s="0">
        <f>(SUMIF('2026-07-04'!F3:F96,'Rekap by Type'!C344,'2026-07-04'!J3:J96))</f>
        <v/>
      </c>
      <c r="G344" s="0">
        <f>ROUND(F344/1.11,0)</f>
        <v/>
      </c>
    </row>
    <row r="345" spans="1:7">
      <c r="A345" s="0" t="inlineStr">
        <is>
          <t>WARUNG</t>
        </is>
      </c>
      <c r="B345" s="0" t="inlineStr">
        <is>
          <t>WARUNG MATURE</t>
        </is>
      </c>
      <c r="C345" s="0" t="inlineStr">
        <is>
          <t>GROSIR</t>
        </is>
      </c>
      <c r="D345" s="0">
        <f>(SUMIF('2026-07-04'!F3:F96,'Rekap by Type'!C345,'2026-07-04'!L3:L96))</f>
        <v/>
      </c>
      <c r="E345" s="0">
        <f>(SUMIF('2026-07-04'!F3:F96,'Rekap by Type'!C345,'2026-07-04'!I3:I96))</f>
        <v/>
      </c>
      <c r="F345" s="0">
        <f>(SUMIF('2026-07-04'!F3:F96,'Rekap by Type'!C345,'2026-07-04'!J3:J96))</f>
        <v/>
      </c>
      <c r="G345" s="0">
        <f>ROUND(F345/1.11,0)</f>
        <v/>
      </c>
    </row>
    <row r="346" spans="1:7">
      <c r="A346" s="0" t="inlineStr">
        <is>
          <t>SEKOLAH</t>
        </is>
      </c>
      <c r="B346" s="0" t="inlineStr">
        <is>
          <t>UNIVERSITY</t>
        </is>
      </c>
      <c r="C346" s="0" t="inlineStr">
        <is>
          <t>RETAIL</t>
        </is>
      </c>
      <c r="D346" s="0">
        <f>(SUMIF('2026-07-04'!F3:F96,'Rekap by Type'!C346,'2026-07-04'!L3:L96))</f>
        <v/>
      </c>
      <c r="E346" s="0">
        <f>(SUMIF('2026-07-04'!F3:F96,'Rekap by Type'!C346,'2026-07-04'!I3:I96))</f>
        <v/>
      </c>
      <c r="F346" s="0">
        <f>(SUMIF('2026-07-04'!F3:F96,'Rekap by Type'!C346,'2026-07-04'!J3:J96))</f>
        <v/>
      </c>
      <c r="G346" s="0">
        <f>ROUND(F346/1.11,0)</f>
        <v/>
      </c>
    </row>
    <row r="347" spans="1:7">
      <c r="A347" s="0" t="inlineStr">
        <is>
          <t>SEKOLAH</t>
        </is>
      </c>
      <c r="B347" s="0" t="inlineStr">
        <is>
          <t>SENIOR SCHOOL (SMA/K)</t>
        </is>
      </c>
      <c r="C347" s="0" t="inlineStr">
        <is>
          <t>MTI NOO</t>
        </is>
      </c>
      <c r="D347" s="0">
        <f>(SUMIF('2026-07-04'!F3:F96,'Rekap by Type'!C347,'2026-07-04'!L3:L96))</f>
        <v/>
      </c>
      <c r="E347" s="0">
        <f>(SUMIF('2026-07-04'!F3:F96,'Rekap by Type'!C347,'2026-07-04'!I3:I96))</f>
        <v/>
      </c>
      <c r="F347" s="0">
        <f>(SUMIF('2026-07-04'!F3:F96,'Rekap by Type'!C347,'2026-07-04'!J3:J96))</f>
        <v/>
      </c>
      <c r="G347" s="0">
        <f>ROUND(F347/1.11,0)</f>
        <v/>
      </c>
    </row>
    <row r="348" spans="1:7">
      <c r="A348" s="0" t="inlineStr">
        <is>
          <t>SEKOLAH</t>
        </is>
      </c>
      <c r="B348" s="0" t="inlineStr">
        <is>
          <t>JUNIOR SCHOOL (SMP)</t>
        </is>
      </c>
      <c r="C348" s="0" t="inlineStr">
        <is>
          <t>WARUNG NOO</t>
        </is>
      </c>
      <c r="D348" s="0">
        <f>(SUMIF('2026-07-04'!F3:F96,'Rekap by Type'!C348,'2026-07-04'!L3:L96))</f>
        <v/>
      </c>
      <c r="E348" s="0">
        <f>(SUMIF('2026-07-04'!F3:F96,'Rekap by Type'!C348,'2026-07-04'!I3:I96))</f>
        <v/>
      </c>
      <c r="F348" s="0">
        <f>(SUMIF('2026-07-04'!F3:F96,'Rekap by Type'!C348,'2026-07-04'!J3:J96))</f>
        <v/>
      </c>
      <c r="G348" s="0">
        <f>ROUND(F348/1.11,0)</f>
        <v/>
      </c>
    </row>
    <row r="349" spans="1:7">
      <c r="A349" s="0" t="inlineStr">
        <is>
          <t>e-Trade</t>
        </is>
      </c>
      <c r="B349" s="0" t="inlineStr">
        <is>
          <t>E-COMMERCE</t>
        </is>
      </c>
      <c r="C349" s="0" t="inlineStr">
        <is>
          <t>Gomart</t>
        </is>
      </c>
      <c r="D349" s="0">
        <f>(SUMIF('2026-07-04'!F3:F96,'Rekap by Type'!C349,'2026-07-04'!L3:L96))</f>
        <v/>
      </c>
      <c r="E349" s="0">
        <f>(SUMIF('2026-07-04'!F3:F96,'Rekap by Type'!C349,'2026-07-04'!I3:I96))</f>
        <v/>
      </c>
      <c r="F349" s="0">
        <f>(SUMIF('2026-07-04'!F3:F96,'Rekap by Type'!C349,'2026-07-04'!J3:J96))</f>
        <v/>
      </c>
      <c r="G349" s="0">
        <f>ROUND(F349/1.11,0)</f>
        <v/>
      </c>
    </row>
    <row r="350" spans="1:7">
      <c r="A350" s="0" t="inlineStr">
        <is>
          <t>INDOSARI FOOD SOLUTIONS</t>
        </is>
      </c>
      <c r="B350" s="0" t="inlineStr">
        <is>
          <t>INSTITUTION</t>
        </is>
      </c>
      <c r="C350" s="0" t="inlineStr">
        <is>
          <t>KAI SERVICES(IFS)</t>
        </is>
      </c>
      <c r="D350" s="0">
        <f>(SUMIF('2026-07-04'!F3:F96,'Rekap by Type'!C350,'2026-07-04'!L3:L96))</f>
        <v/>
      </c>
      <c r="E350" s="0">
        <f>(SUMIF('2026-07-04'!F3:F96,'Rekap by Type'!C350,'2026-07-04'!I3:I96))</f>
        <v/>
      </c>
      <c r="F350" s="0">
        <f>(SUMIF('2026-07-04'!F3:F96,'Rekap by Type'!C350,'2026-07-04'!J3:J96))</f>
        <v/>
      </c>
      <c r="G350" s="0">
        <f>ROUND(F350/1.11,0)</f>
        <v/>
      </c>
    </row>
    <row r="351" spans="1:7">
      <c r="A351" s="0" t="inlineStr">
        <is>
          <t>INDOSARI FOOD SOLUTIONS</t>
        </is>
      </c>
      <c r="B351" s="0" t="inlineStr">
        <is>
          <t>INSTITUTION</t>
        </is>
      </c>
      <c r="C351" s="0" t="inlineStr">
        <is>
          <t>IFS EVENT</t>
        </is>
      </c>
      <c r="D351" s="0">
        <f>(SUMIF('2026-07-04'!F3:F96,'Rekap by Type'!C351,'2026-07-04'!L3:L96))</f>
        <v/>
      </c>
      <c r="E351" s="0">
        <f>(SUMIF('2026-07-04'!F3:F96,'Rekap by Type'!C351,'2026-07-04'!I3:I96))</f>
        <v/>
      </c>
      <c r="F351" s="0">
        <f>(SUMIF('2026-07-04'!F3:F96,'Rekap by Type'!C351,'2026-07-04'!J3:J96))</f>
        <v/>
      </c>
      <c r="G351" s="0">
        <f>ROUND(F351/1.11,0)</f>
        <v/>
      </c>
    </row>
    <row r="352" spans="1:7">
      <c r="A352" s="0" t="inlineStr">
        <is>
          <t>MTI</t>
        </is>
      </c>
      <c r="B352" s="0" t="inlineStr">
        <is>
          <t>MTI NOO</t>
        </is>
      </c>
      <c r="C352" s="0" t="inlineStr">
        <is>
          <t>LSL MTI NOO (BUN3M)</t>
        </is>
      </c>
      <c r="D352" s="0">
        <f>(SUMIF('2026-07-04'!F3:F96,'Rekap by Type'!C352,'2026-07-04'!L3:L96))</f>
        <v/>
      </c>
      <c r="E352" s="0">
        <f>(SUMIF('2026-07-04'!F3:F96,'Rekap by Type'!C352,'2026-07-04'!I3:I96))</f>
        <v/>
      </c>
      <c r="F352" s="0">
        <f>(SUMIF('2026-07-04'!F3:F96,'Rekap by Type'!C352,'2026-07-04'!J3:J96))</f>
        <v/>
      </c>
      <c r="G352" s="0">
        <f>ROUND(F352/1.11,0)</f>
        <v/>
      </c>
    </row>
    <row r="353" spans="1:7">
      <c r="A353" s="0" t="inlineStr">
        <is>
          <t>WARUNG</t>
        </is>
      </c>
      <c r="B353" s="0" t="inlineStr">
        <is>
          <t>WARUNG NOO</t>
        </is>
      </c>
      <c r="C353" s="0" t="inlineStr">
        <is>
          <t>LSL Warung NOO (BUN3M)</t>
        </is>
      </c>
      <c r="D353" s="0">
        <f>(SUMIF('2026-07-04'!F3:F96,'Rekap by Type'!C353,'2026-07-04'!L3:L96))</f>
        <v/>
      </c>
      <c r="E353" s="0">
        <f>(SUMIF('2026-07-04'!F3:F96,'Rekap by Type'!C353,'2026-07-04'!I3:I96))</f>
        <v/>
      </c>
      <c r="F353" s="0">
        <f>(SUMIF('2026-07-04'!F3:F96,'Rekap by Type'!C353,'2026-07-04'!J3:J96))</f>
        <v/>
      </c>
      <c r="G353" s="0">
        <f>ROUND(F353/1.11,0)</f>
        <v/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2026-07-01T20:35:13+07:00</dcterms:created>
  <dcterms:modified xsi:type="dcterms:W3CDTF">2026-07-01T20:35:13+07:00</dcterms:modified>
  <cp:revision>0</cp:revision>
</cp:coreProperties>
</file>